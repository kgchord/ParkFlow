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OM" sheetId="1" state="visible" r:id="rId3"/>
    <sheet name="Summary" sheetId="2" state="visible" r:id="rId4"/>
    <sheet name="Sources" sheetId="3" state="visible" r:id="rId5"/>
  </sheets>
  <definedNames>
    <definedName function="false" hidden="true" localSheetId="0" name="_xlnm._FilterDatabase" vbProcedure="false">BOM!$A$1:$R$92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<sst xmlns="http://schemas.openxmlformats.org/spreadsheetml/2006/main" count="1216" uniqueCount="593">
  <si>
    <t xml:space="preserve">Subsystem</t>
  </si>
  <si>
    <t xml:space="preserve">Component</t>
  </si>
  <si>
    <t xml:space="preserve">Exact part / spec</t>
  </si>
  <si>
    <t xml:space="preserve">Qty</t>
  </si>
  <si>
    <t xml:space="preserve">Unit cost (INR)</t>
  </si>
  <si>
    <t xml:space="preserve">Line total (INR, formula)</t>
  </si>
  <si>
    <t xml:space="preserve">Est. (INR) - ESTIMATE range</t>
  </si>
  <si>
    <t xml:space="preserve">Vendor</t>
  </si>
  <si>
    <t xml:space="preserve">Vendor city</t>
  </si>
  <si>
    <t xml:space="preserve">Sourcing flag</t>
  </si>
  <si>
    <t xml:space="preserve">Lead time (days)</t>
  </si>
  <si>
    <t xml:space="preserve">Product URL</t>
  </si>
  <si>
    <t xml:space="preserve">Alt vendor</t>
  </si>
  <si>
    <t xml:space="preserve">Notes</t>
  </si>
  <si>
    <t xml:space="preserve">Price evidence</t>
  </si>
  <si>
    <t xml:space="preserve">Checked on</t>
  </si>
  <si>
    <t xml:space="preserve">Est. low (INR)</t>
  </si>
  <si>
    <t xml:space="preserve">Est. high (INR)</t>
  </si>
  <si>
    <t xml:space="preserve">Edge Node</t>
  </si>
  <si>
    <t xml:space="preserve">Raspberry Pi 5 8GB</t>
  </si>
  <si>
    <t xml:space="preserve">Raspberry Pi 5 Model B, BCM2712, 8GB LPDDR4X</t>
  </si>
  <si>
    <t xml:space="preserve">Probots (Probots Technologies)</t>
  </si>
  <si>
    <t xml:space="preserve">Bengaluru (Nagarbhavi; contact page)</t>
  </si>
  <si>
    <t xml:space="preserve">Domestic</t>
  </si>
  <si>
    <t xml:space="preserve">https://probots.co.in/raspberry-pi-5-model-b-bcm2712-arm-cortex-a76-8gb-ram-2-4ghz-single-board-computer.html</t>
  </si>
  <si>
    <t xml:space="preserve">Robocraze, Bengaluru: Rs 19,999 incl GST (SOLD OUT 24-Oct) https://robocraze.com/products/raspberry-pi-5-8gb ; element14 India Rs 16,717.93 (GST n/s, ships from SG/UK stock, 3-6 business days - IMPORTED shipment)</t>
  </si>
  <si>
    <t xml:space="preserve">Listed Rs 22,499.00 incl GST. In stock. Approved-reseller status of Probots not verified. Hubtronics (Rs 20,765) rejected: Pune.</t>
  </si>
  <si>
    <t xml:space="preserve">Product page</t>
  </si>
  <si>
    <t xml:space="preserve">2026-10-25</t>
  </si>
  <si>
    <t xml:space="preserve">Raspberry Pi AI HAT+ 26 TOPS</t>
  </si>
  <si>
    <t xml:space="preserve">Raspberry Pi AI HAT+ (Hailo-8, 26 TOPS), PCIe Gen3 x1</t>
  </si>
  <si>
    <t xml:space="preserve">https://probots.co.in/official-raspberry-pi-ai-hat-26-tops.html</t>
  </si>
  <si>
    <t xml:space="preserve">Robocraze, Bengaluru: Rs 11,309 incl GST (SOLD OUT 24-Oct) https://robocraze.com/products/official-raspberry-pi-ai-hat-26-tops</t>
  </si>
  <si>
    <t xml:space="preserve">Listed Rs 14,999.00 incl GST. In stock. Hubtronics (Rs 10,989, OOS) rejected: Pune. Uses the Pi 5's only PCIe lane, so boot media is microSD (no NVMe).</t>
  </si>
  <si>
    <t xml:space="preserve">Active cooler</t>
  </si>
  <si>
    <t xml:space="preserve">Official Raspberry Pi 5 Active Cooler (heatsink + PWM fan)</t>
  </si>
  <si>
    <t xml:space="preserve">https://probots.co.in/official-raspberry-pi-5-active-cooler-heatsink-fan.html</t>
  </si>
  <si>
    <t xml:space="preserve">No 2nd allowed-city vendor verified (Hubtronics Rs 560 is Pune)</t>
  </si>
  <si>
    <t xml:space="preserve">Listed Rs 749.00 incl GST. In stock. Design note (25 Oct): sits inside the sealed box and circulates the internal air; it does not remove heat from the box (CALCS section 5).</t>
  </si>
  <si>
    <t xml:space="preserve">microSD card 128GB</t>
  </si>
  <si>
    <t xml:space="preserve">SanDisk 128GB microSDXC (A1/A2 class to confirm at checkout)</t>
  </si>
  <si>
    <t xml:space="preserve">Robocraze (TIF Labs Pvt Ltd)</t>
  </si>
  <si>
    <t xml:space="preserve">Bengaluru (Kalyan Nagar warehouse; contact page)</t>
  </si>
  <si>
    <t xml:space="preserve">https://robocraze.com/search?q=sandisk</t>
  </si>
  <si>
    <t xml:space="preserve">Robocraze SanDisk Extreme 128GB A2 Rs 3,643 (sold out)</t>
  </si>
  <si>
    <t xml:space="preserve">Listed Rs 2,725.00 incl GST. Shown as add-to-cart on search page; &gt;=64GB requirement met.</t>
  </si>
  <si>
    <t xml:space="preserve">Store/category listing page</t>
  </si>
  <si>
    <t xml:space="preserve">2026-10-24</t>
  </si>
  <si>
    <t xml:space="preserve">USB-C PSU (bench / commissioning)</t>
  </si>
  <si>
    <t xml:space="preserve">Raspberry Pi 27W USB-C PSU 5.1V 5A, white, IN plug</t>
  </si>
  <si>
    <t xml:space="preserve">https://probots.co.in/raspberry-pi-27w-usb-c-power-supply-white-in-plug.html</t>
  </si>
  <si>
    <t xml:space="preserve">Robocraze: Rs 1,254 (white) on search page, stock not shown</t>
  </si>
  <si>
    <t xml:space="preserve">Listed Rs 1,749.00 incl GST. In stock. Bench use; in the enclosure the Pi is fed by the 24V-&gt;5V buck below.</t>
  </si>
  <si>
    <t xml:space="preserve">24V-&gt;5.1V 5A buck (Pi 5 feed in enclosure)</t>
  </si>
  <si>
    <t xml:space="preserve">XL4015 step-down, 4-38V in, 1.25-36V out, 5A max</t>
  </si>
  <si>
    <t xml:space="preserve">https://probots.co.in/xl4015-step-down-buck-converter-adjustable-max-output-36v-5a.html</t>
  </si>
  <si>
    <t xml:space="preserve">Thingbits / Robocraze equivalents (not priced)</t>
  </si>
  <si>
    <t xml:space="preserve">Listed Rs 299.00 incl GST. In stock. 5A is the module's max: derate and add heatsink, target to be bench-verified. A Mean Well DC-DC 5V module would be the industrial option (quote).</t>
  </si>
  <si>
    <t xml:space="preserve">Pi 5 UPS module (&gt;=10 min ride-through)</t>
  </si>
  <si>
    <t xml:space="preserve">Geekworm X1202 UPS HAT for Raspberry Pi 5 (18650 based, 5.1 V 5 A output)</t>
  </si>
  <si>
    <t xml:space="preserve">quote needed</t>
  </si>
  <si>
    <t xml:space="preserve">4,599-4,599 (line)</t>
  </si>
  <si>
    <t xml:space="preserve">https://probots.co.in/metal-case-raspberry-pi-5-x1202-ups-board.html</t>
  </si>
  <si>
    <t xml:space="preserve">Geekworm X1202 (Robu.in - Pune, rejected); quote from Robocraze/Thingbits</t>
  </si>
  <si>
    <t xml:space="preserve">25-Oct: the 24-Oct figure of Rs 4,599 came from a related-products block and was labelled 'Waveshare'. The Probots page checked on 25-Oct is the Geekworm X1202-C1 metal case at Rs 2,649 incl GST (in stock); it does not show a Rs 4,599 UPS board. Rs 4,599 is kept only as the budget placeholder until a quote or the board's own product page is seen. Geekworm sells the X1202 as a 4-cell board; Probots says 2 cells. UPS covers the Pi only (not the PoE switch or camera). Ride-through time is a target, to be bench-verified. Limitation (25 Oct): the PoE switch and camera have no UPS, so ANPR is lost on a mains outage while the Pi and RFID reader keep running (docs/OPEN_DECISIONS.md D3).</t>
  </si>
  <si>
    <t xml:space="preserve">ESTIMATE - quote needed</t>
  </si>
  <si>
    <t xml:space="preserve">18650 Li-ion cells for UPS module</t>
  </si>
  <si>
    <t xml:space="preserve">Protected 18650, 2500-3000 mAh (2 per Probots X1202 page; Geekworm describes a 4-cell board: confirm count)</t>
  </si>
  <si>
    <t xml:space="preserve">500-900 (line)</t>
  </si>
  <si>
    <t xml:space="preserve">Thingbits, Mumbai</t>
  </si>
  <si>
    <t xml:space="preserve">Not priced: quote needed.</t>
  </si>
  <si>
    <t xml:space="preserve">SUBTOTAL - Edge Node</t>
  </si>
  <si>
    <t xml:space="preserve">Lane Controller PCB</t>
  </si>
  <si>
    <t xml:space="preserve">MCU module</t>
  </si>
  <si>
    <t xml:space="preserve">Espressif ESP32-S3-WROOM-1-N16R8 (16MB flash, 8MB PSRAM)</t>
  </si>
  <si>
    <t xml:space="preserve">LionCircuits</t>
  </si>
  <si>
    <t xml:space="preserve">Bengaluru (080 phone; Karnataka facility) - address not on site, confirm</t>
  </si>
  <si>
    <t xml:space="preserve">https://lioncircuits.com/parts/ESP32-S3-WROOM-1-N16R8</t>
  </si>
  <si>
    <t xml:space="preserve">Probots ESP32-S3 N16R8 dev board Rs 1,299 incl GST (bench firmware) https://probots.co.in/esp32-s3-wroom-1-n16r8-development-board-wireless-module-wifi-bluetooth.html</t>
  </si>
  <si>
    <t xml:space="preserve">Listed Rs 856.47; GST not stated, +18% applied (conservative). Qty 1 + 1 spare. Ships in 7-10 days (stated). Page text says '6MB Quad SPI', confirm flash size.</t>
  </si>
  <si>
    <t xml:space="preserve">RS485 transceiver</t>
  </si>
  <si>
    <t xml:space="preserve">Maxim MAX3485ESA+T, 3.3V, SOIC-8, 10 Mbps</t>
  </si>
  <si>
    <t xml:space="preserve">https://lioncircuits.com/parts/MAX3485ESA+T</t>
  </si>
  <si>
    <t xml:space="preserve">Probots UART TTL-RS485 auto-flow module PRO2056 Rs 399 incl GST https://probots.co.in/uart-ttl-to-rs485-serial-converter.html</t>
  </si>
  <si>
    <t xml:space="preserve">SUPERSEDED 25 Oct: the schematic uses TI THVD1450DR (see the line 'Schematic parts not otherwise listed'). Qty set to 0; the priced MAX3485ESA is kept visible for reference only. Original note: Listed Rs 932.28; GST not stated, +18% applied (conservative). Qty 1 + 1 spare. Ships in 7-10 days (stated).</t>
  </si>
  <si>
    <t xml:space="preserve">RS485 TVS</t>
  </si>
  <si>
    <t xml:space="preserve">Semtech SM712.TCT, asymmetric 12V/7V TVS, SOT-23, 400W</t>
  </si>
  <si>
    <t xml:space="preserve">https://lioncircuits.com/parts/SM712.TCT</t>
  </si>
  <si>
    <t xml:space="preserve">Listed Rs 166.55; GST not stated, +18% applied (conservative). Ships in 7-10 days (stated).</t>
  </si>
  <si>
    <t xml:space="preserve">H-bridge motor driver</t>
  </si>
  <si>
    <t xml:space="preserve">BTS7960 43A dual half-bridge module (IBT-2)</t>
  </si>
  <si>
    <t xml:space="preserve">https://probots.co.in/bts7960-43a-stepper-motor-driver-h-bridge-high-power-module-motor-control.html</t>
  </si>
  <si>
    <t xml:space="preserve">Thingbits, Mumbai: Rs 251.34 incl GST (SOLD OUT) https://www.thingbits.in/products/bts7960-43a-h-bridge-motor-driver</t>
  </si>
  <si>
    <t xml:space="preserve">Listed Rs 699.00 incl GST. In stock. ONE DESIGN (25 Oct): the schematic now uses this IBT-2 module (2x BTS7960, 5.5-27 V motor supply, so 24 V is inside its range; the former BTN8982TA pair is gone). Only its 8 logic pins reach the PCB (header J14); the module's B+/B-/M+/M- terminals are wired directly: contactor K1 contacts -&gt; B+/B-, motor -&gt; M+/M-. Add 470 uF 50 V + SMCJ28A across B+/B- at the module (in the misc line). Logic is 5 V (on-board buffer); the PCB level-shifts with 74AHCT1G08. Module IS pins have a 1k to GND each. Thingbits Mumbai Rs 251.34 was sold out.</t>
  </si>
  <si>
    <t xml:space="preserve">24V-&gt;5V buck (logic rail)</t>
  </si>
  <si>
    <t xml:space="preserve">XL4015 step-down, 5A max</t>
  </si>
  <si>
    <t xml:space="preserve">SUPERSEDED 25 Oct: the schematic uses a TPS54560BDDA 5 A buck on the PCB (parts in the line 'Schematic parts not otherwise listed'). Qty set to 0. The XL4015 modules on the P10 and Edge lines are separate. Original note: Listed Rs 299.00 incl GST. In stock.</t>
  </si>
  <si>
    <t xml:space="preserve">3.3V regulator</t>
  </si>
  <si>
    <t xml:space="preserve">Diodes AP2112K-3.3TRG1 LDO 600mA SOT-23-5</t>
  </si>
  <si>
    <t xml:space="preserve">https://lioncircuits.com/parts/AP2112K-3.3TRG1</t>
  </si>
  <si>
    <t xml:space="preserve">SUPERSEDED 25 Oct: the schematic uses a TLV62569DBVR 2 A buck (the 600 mA LDO was marginal for ESP32-S3 Wi-Fi peaks). Qty set to 0. Original note: Listed Rs 18.08; GST not stated, +18% applied (conservative). Lowest tier is 10 pcs. 600mA is tight for ESP32-S3 Wi-Fi peaks: bench-verify, or switch to a 1A LDO.</t>
  </si>
  <si>
    <t xml:space="preserve">Optocouplers</t>
  </si>
  <si>
    <t xml:space="preserve">PC817C 4-SMD (limit switches, photo-beam, E-stop sense)</t>
  </si>
  <si>
    <t xml:space="preserve">https://lioncircuits.com/parts/PC817C</t>
  </si>
  <si>
    <t xml:space="preserve">Listed Rs 3.59; GST not stated, +18% applied (conservative).</t>
  </si>
  <si>
    <t xml:space="preserve">Screw terminals</t>
  </si>
  <si>
    <t xml:space="preserve">2-pin fixed screw terminal block, 5.08mm pitch</t>
  </si>
  <si>
    <t xml:space="preserve">https://probots.co.in/2-pin-fixed-screw-terminal-block-connector-5-08mm.html</t>
  </si>
  <si>
    <t xml:space="preserve">Listed Rs 15.00 incl GST. In stock.</t>
  </si>
  <si>
    <t xml:space="preserve">Buzzer</t>
  </si>
  <si>
    <t xml:space="preserve">Piezo buzzer B-27, 3-24V continuous</t>
  </si>
  <si>
    <t xml:space="preserve">https://probots.co.in/piezo-electric-buzzer-alarm-3v-24v-continuous-b27.html</t>
  </si>
  <si>
    <t xml:space="preserve">Listed Rs 49.00 incl GST. Price seen on Probots listing grid.</t>
  </si>
  <si>
    <t xml:space="preserve">Status RGB LED</t>
  </si>
  <si>
    <t xml:space="preserve">WS2812 12-LED ring board</t>
  </si>
  <si>
    <t xml:space="preserve">https://probots.co.in/rgb-led-12-bit-ws2812-circular-development-board.html</t>
  </si>
  <si>
    <t xml:space="preserve">Listed Rs 149.00 incl GST. In stock.</t>
  </si>
  <si>
    <t xml:space="preserve">PCB fabrication</t>
  </si>
  <si>
    <t xml:space="preserve">2-layer FR4 ~100x80 mm, 5 pcs (1 lot)</t>
  </si>
  <si>
    <t xml:space="preserve">https://lioncircuits.com/</t>
  </si>
  <si>
    <t xml:space="preserve">Quote also from another Bengaluru/Delhi fab</t>
  </si>
  <si>
    <t xml:space="preserve">Listed Rs 799.00; GST not stated, +18% applied (conservative). Advertised '5 boards for Rs 799 in 5-6 days'. Final price depends on size/spec quote. Lead time = 5-6 days + about 3 days shipping.</t>
  </si>
  <si>
    <t xml:space="preserve">Vendor homepage offer</t>
  </si>
  <si>
    <t xml:space="preserve">Misc passives &amp; connectors</t>
  </si>
  <si>
    <t xml:space="preserve">R/C 0805, electrolytics, ferrites, SMBJ33A on 24V, headers, JST, RJ45/RS485 connector, polyfuse</t>
  </si>
  <si>
    <t xml:space="preserve">800-1,500 (line)</t>
  </si>
  <si>
    <t xml:space="preserve">Probots</t>
  </si>
  <si>
    <t xml:space="preserve">Quote needed. One lot. Now also covers: 470 uF 50 V low-ESR + SMCJ28A at the IBT-2 module terminals, 1x8 2.54 mm header for J14, 2x SM712-class TVS spares, ferrites, JST-XH, RJ45/Cat6 (see spec). Range unchanged from 24 Oct: re-quote.</t>
  </si>
  <si>
    <t xml:space="preserve">Schematic parts not otherwise listed</t>
  </si>
  <si>
    <t xml:space="preserve">TI THVD1450DR RS485 (replaces MAX3485ESA); TPS54560BDDA 5 A buck + 6.8 uH inductor + B560C + FQD11P06 reverse-polarity FET (replaces XL4015 on the PCB); TLV62569DBVR 3.3 V buck + 2.2 uH (replaces AP2112K); TPS3823-33DBVR watchdog; 3x 74AHCT1G08 (U9, U10, U19); SN74HCT245PWR; USBLC6-2SC6; GCT USB4105 USB-C; 2x 2N7002; 2x IRLML0060; BAT54/SS14/S1M/1N4148W diodes; 3 A nano fuse + MF-R075 polyfuse</t>
  </si>
  <si>
    <t xml:space="preserve">2,500-5,000 (line)</t>
  </si>
  <si>
    <t xml:space="preserve">LCSC-type parts are not an allowed source (non-Indian); Robocraze/Probots for modules only</t>
  </si>
  <si>
    <t xml:space="preserve">ESTIMATE added 25 Oct. ESDS section 11 item 2: the BOM listed MAX3485ESA, XL4015 and AP2112K while the schematic uses other parts. These schematic-only parts have no vendor page opened. The range is a placeholder sized from the three superseded lines (Rs 2,712 priced) plus about 25 small parts; get a LionCircuits (or Delhi/Bengaluru distributor) quote against the generated netlist before ordering.</t>
  </si>
  <si>
    <t xml:space="preserve">SUBTOTAL - Lane Controller PCB</t>
  </si>
  <si>
    <t xml:space="preserve">UHF RFID Reader</t>
  </si>
  <si>
    <t xml:space="preserve">UHF integrated reader</t>
  </si>
  <si>
    <t xml:space="preserve">ID Tech IDT 85 mid-range UHF reader, 865-867 MHz, up to 8 m. IndustryBuying lists Wiegand + RS232 only; TradeIndia lists RS232/RS485/TCP-IP/Wiegand 26/34 and IP65. RS485, IP rating and EPC Gen2 to be confirmed in writing</t>
  </si>
  <si>
    <t xml:space="preserve">ID Tech Solutions Pvt Ltd (OEM); price ref. IndustryBuying</t>
  </si>
  <si>
    <t xml:space="preserve">Gurugram (Plot 610, Udyog Vihar Ph V; TradeIndia)</t>
  </si>
  <si>
    <t xml:space="preserve">Local-Delhi NCR</t>
  </si>
  <si>
    <t xml:space="preserve">https://www.industrybuying.com/card-reader-id-tech-ITE.CAR.38552208</t>
  </si>
  <si>
    <t xml:space="preserve">Eco Track Systems, New Delhi: 'RFID Integrated Reader 6 Meters' Rs 10,000 (GST n/s; interfaces not listed; the seller's page gives the UHF band as 865-928 MHz, so India-band compliance is unconfirmed) https://m.indiamart.com/ecotracksystems/integrated-reader.html</t>
  </si>
  <si>
    <t xml:space="preserve">Listed Rs 25,959.00 incl GST. 'Ships within 3 days' (stated). OEM's TradeIndia listing shows about Rs 14,000 (approx), so a direct quote may cut this line by about 45%. 25-Oct re-check of the IndustryBuying page: price Rs 25,959 unchanged; interfaces Wiegand + RS232 (no RS485); IP rating not listed; 9 V DC supply; -10 to 50 C operating temperature; RF output up to 30 dBm adjustable; fixed-frequency emission mode within 865-867 MHz. Ask ID Tech for: RS485 variant, WPC ETA certificate, India channel plan (865.7/866.3/866.9/867.5 MHz under G.S.R. 853(E)) and how e.r.p. is kept at or below 2 W with the built-in antenna.</t>
  </si>
  <si>
    <t xml:space="preserve">UHF test tags</t>
  </si>
  <si>
    <t xml:space="preserve">UHF RFID windshield tags (bench tests; the live demo uses a real FASTag)</t>
  </si>
  <si>
    <t xml:space="preserve">Eco Track Systems</t>
  </si>
  <si>
    <t xml:space="preserve">New Delhi (IndiaMART profile, GST 07AAFFE8904J2Z8)</t>
  </si>
  <si>
    <t xml:space="preserve">https://m.indiamart.com/ecotracksystems/profile.html</t>
  </si>
  <si>
    <t xml:space="preserve">Listed Rs 12.00; GST not stated, +18% applied (conservative). Listed per piece on IndiaMART profile as 'RFID Windshield Tag' (UHF/EPC Gen2 not stated on the page): confirm UHF 865-867 MHz EPC Gen2 before buying.</t>
  </si>
  <si>
    <t xml:space="preserve">SUBTOTAL - UHF RFID Reader</t>
  </si>
  <si>
    <t xml:space="preserve">ANPR Camera</t>
  </si>
  <si>
    <t xml:space="preserve">ANPR camera 2MP IR</t>
  </si>
  <si>
    <t xml:space="preserve">CP Plus CP-UNC-TD21ZL6C-VMDS 2MP bullet, 2.7-13.5mm motorized, 120dB WDR, 60m IR, IP67</t>
  </si>
  <si>
    <t xml:space="preserve">Secure Bazaar (IndiaMART)</t>
  </si>
  <si>
    <t xml:space="preserve">Chennai (ships from Chennai)</t>
  </si>
  <si>
    <t xml:space="preserve">https://m.indiamart.com/proddetail/cp-plus-cp-unc-td21zl6c-vmds-bullet-camera-2854862398948.html</t>
  </si>
  <si>
    <t xml:space="preserve">Deot International, New Delhi: Hikvision DS-2CD1023G0E-I 2MP IR fixed bullet Rs 3,350 excl GST (Rs 3,953) https://m.indiamart.com/proddetail/hikvision-ds-2cd1023g0e-i-2-mp-ir-fixed-network-bullet-camera-22509971212.html</t>
  </si>
  <si>
    <t xml:space="preserve">Listed Rs 3,450.00 excl GST; +18% GST applied. 25-Oct re-check: price Rs 3,450 excl GST unchanged, in stock, seller Secure Bazaar, Chennai. The spec table says 'Analog Camera' although the title says Network Camera. PoE, ONVIF/RTSP and the IR wavelength (850 nm required) are NOT stated; shutter is listed as 1/100000 s (implausible, treat as maximum). Get written confirmation of PoE, RTSP and 850 nm IR before payment; if 12V-only, add a PoE splitter.</t>
  </si>
  <si>
    <t xml:space="preserve">SUBTOTAL - ANPR Camera</t>
  </si>
  <si>
    <t xml:space="preserve">PoE Switch</t>
  </si>
  <si>
    <t xml:space="preserve">PoE switch</t>
  </si>
  <si>
    <t xml:space="preserve">Netgear GS305P 5-port Gigabit unmanaged PoE</t>
  </si>
  <si>
    <t xml:space="preserve">Accruepole Pvt Ltd (IndiaMART)</t>
  </si>
  <si>
    <t xml:space="preserve">Mumbai (Kandivali East; ships from Mumbai)</t>
  </si>
  <si>
    <t xml:space="preserve">https://m.indiamart.com/proddetail/5-port-gigabit-ethernet-poe-unmanaged-switch-gs305p-netgear-2856793072391.html</t>
  </si>
  <si>
    <t xml:space="preserve">Gigalink Technologies, Mumbai (Andheri E): Netgear 8-port, 4xPoE 53W Rs 4,200 excl GST https://m.indiamart.com/proddetail/8-port-gigabit-ethernet-plus-with-4-ports-poe-53w-24243207948.html ; PrimeABGB, Lamington Rd Mumbai: Cadyce CA-PS800 Rs 4,118</t>
  </si>
  <si>
    <t xml:space="preserve">Listed Rs 4,500.00 excl GST; +18% GST applied. PoE budget and input voltage not on listing (the box includes its own DC adapter, so this switch runs from mains through its adapter, not from the 12 V rail): confirm budget &gt;= camera + spare. The alt listing's model name is inconsistent (GS308PP vs GS108PE).</t>
  </si>
  <si>
    <t xml:space="preserve">SUBTOTAL - PoE Switch</t>
  </si>
  <si>
    <t xml:space="preserve">Occupancy Nodes x4</t>
  </si>
  <si>
    <t xml:space="preserve">Node MCU</t>
  </si>
  <si>
    <t xml:space="preserve">ESP32-C3 SuperMini (RISC-V, USB-C)</t>
  </si>
  <si>
    <t xml:space="preserve">https://probots.co.in/esp32-c3-supermini-wifi-bluetooth-development-board-32-bit-risc-v-uart-i2c-spi.html</t>
  </si>
  <si>
    <t xml:space="preserve">Probots ESP32-C3-Mini-1 dual USB-C board Rs 999</t>
  </si>
  <si>
    <t xml:space="preserve">Listed Rs 242.00 incl GST. Page shows in stock, but metadata says OOS: confirm.</t>
  </si>
  <si>
    <t xml:space="preserve">Distance sensor</t>
  </si>
  <si>
    <t xml:space="preserve">VL53L1X ToF laser ranging module (up to 4 m)</t>
  </si>
  <si>
    <t xml:space="preserve">https://probots.co.in/vl53l1x-tof-laser-ranging-sensor-module.html</t>
  </si>
  <si>
    <t xml:space="preserve">Thingbits, Mumbai: DFRobot A02YYUW waterproof ultrasonic Rs 1,698.02 incl GST (SOLD OUT) https://thingbits.in/products/a02yyuw-waterproof-ultrasonic-sensor</t>
  </si>
  <si>
    <t xml:space="preserve">Listed Rs 799.00 incl GST. OUT OF STOCK 24-Oct: 14-day lead time is an assumption. Two other Probots VL53L1X listings exist (unpriced).</t>
  </si>
  <si>
    <t xml:space="preserve">Bay LED</t>
  </si>
  <si>
    <t xml:space="preserve">WS2812 12-LED ring</t>
  </si>
  <si>
    <t xml:space="preserve">Node 5V supply</t>
  </si>
  <si>
    <t xml:space="preserve">5V 2A USB adapter + cable per node</t>
  </si>
  <si>
    <t xml:space="preserve">800-1,400 (line)</t>
  </si>
  <si>
    <t xml:space="preserve">Local market (Delhi NCR)</t>
  </si>
  <si>
    <t xml:space="preserve">Delhi NCR</t>
  </si>
  <si>
    <t xml:space="preserve">Not priced: quote needed (about Rs 200-350 each).</t>
  </si>
  <si>
    <t xml:space="preserve">SUBTOTAL - Occupancy Nodes x4</t>
  </si>
  <si>
    <t xml:space="preserve">P10 LED Sign</t>
  </si>
  <si>
    <t xml:space="preserve">P10 outdoor LED module</t>
  </si>
  <si>
    <t xml:space="preserve">P10 red SMD outdoor module 320x160 mm, 32x16, HUB12</t>
  </si>
  <si>
    <t xml:space="preserve">https://probots.co.in/p10-red-smd-outdoor-led-display-module-160x320mm.html</t>
  </si>
  <si>
    <t xml:space="preserve">Pixel Led Pvt Ltd, Navi Mumbai (Airoli): outdoor P10 red Rs 340 excl GST (Rs 401.20) https://m.indiamart.com/proddetail/outdoor-p10-red-led-display-module-21357608312.html</t>
  </si>
  <si>
    <t xml:space="preserve">Listed Rs 699.00 incl GST. OUT OF STOCK 24-Oct, so the alt vendor (1-week delivery stated) is the likely buy.</t>
  </si>
  <si>
    <t xml:space="preserve">P10 controller (fallback)</t>
  </si>
  <si>
    <t xml:space="preserve">Huidu HD-W00 single-colour Wi-Fi LED controller</t>
  </si>
  <si>
    <t xml:space="preserve">https://probots.co.in/w00-led-display-single-colour-wifi-controller-card-hd.html</t>
  </si>
  <si>
    <t xml:space="preserve">Quote: Nehru Place LED dealers</t>
  </si>
  <si>
    <t xml:space="preserve">Listed Rs 538.00 incl GST. OUT OF STOCK. The primary drive is HUB12 from the Lane PCB; this card is a fallback.</t>
  </si>
  <si>
    <t xml:space="preserve">P10 5V supply</t>
  </si>
  <si>
    <t xml:space="preserve">XL4015 24V-&gt;5V buck, 5A max</t>
  </si>
  <si>
    <t xml:space="preserve">Listed Rs 299.00 incl GST. In stock.</t>
  </si>
  <si>
    <t xml:space="preserve">SUBTOTAL - P10 LED Sign</t>
  </si>
  <si>
    <t xml:space="preserve">Barrier Drive</t>
  </si>
  <si>
    <t xml:space="preserve">24V geared DC motor</t>
  </si>
  <si>
    <t xml:space="preserve">Lucas TVS wiper motor assembly 24V, 18 Nm (model 26971117A), worm-geared</t>
  </si>
  <si>
    <t xml:space="preserve">Moglix (Lucas TVS packer: Shahdara, New Delhi)</t>
  </si>
  <si>
    <t xml:space="preserve">New Delhi (packer address) - Moglix dispatch city not verified</t>
  </si>
  <si>
    <t xml:space="preserve">https://www.moglix.com/lucas-tvs-wiper-motor-assembly-24-v-18-nm-for-hindustan-72-71b-front-end-loader-front-screentriv-luc-tsrxs6/mp/msnl5gln362yk4</t>
  </si>
  <si>
    <t xml:space="preserve">Probots, Bengaluru: 6280 24V 30rpm reversible worm, self-locking, 48 kg-cm (~4.7 Nm) Rs 9,999 incl GST, in stock https://probots.co.in/6280-24v-30rpm-reversible-worm-gear-high-torque-self-locking-motor-left.html</t>
  </si>
  <si>
    <t xml:space="preserve">Listed Rs 944.00 incl GST. 'AVAILABLE ON REQUEST' (stock not confirmed; dispatch city still not shown). RPM, rated vs stall torque, duty, stall current and self-locking are NOT listed. DECISION 25 Oct (cad/calcs/CALCS.md section 4): accepted as a DEMO motor only. The requirement is 11.6 N.m at a 15 m/s operating wind (margin 1.56), so the demo rule is: move the boom only in wind &lt;= 12 m/s (margin 2.2). Still-air requirement 2.1 N.m. Self-locking is NOT assumed; storm survival (93 N.m raised-boom gust) is carried by a storm-lock pin, not by this gearbox. A 15 m/s / production rating needs a &gt;= 30 N.m self-locking gearmotor with a datasheet (not found at an allowed seller; the Probots 6280 and 5840 worm motors are 4.4-35 kg.cm; see docs/OPEN_DECISIONS.md D1). The 5840-31ZY page (Rs 1,799, 45 kg.cm, 10 rpm, out of stock) is 4.4 N.m and far below the need.</t>
  </si>
  <si>
    <t xml:space="preserve">Limit switches</t>
  </si>
  <si>
    <t xml:space="preserve">ME-8108 rotary adjustable roller limit switch</t>
  </si>
  <si>
    <t xml:space="preserve">https://probots.co.in/rotary-adjustable-roller-micro-limit-switch-me-8108.html</t>
  </si>
  <si>
    <t xml:space="preserve">Probots micro limit roller switch Rs 69 (OOS)</t>
  </si>
  <si>
    <t xml:space="preserve">Listed Rs 399.00 incl GST. In stock. Positions: 0 deg and 90 deg. 25 Oct decision: these roller switches (NC contact between +24V_FIELD and the input) are the limit sensors; the M12 inductive sensors in MATERIALS are dropped.</t>
  </si>
  <si>
    <t xml:space="preserve">IR photo-beam pair</t>
  </si>
  <si>
    <t xml:space="preserve">Delta 18mm through-beam photoelectric (PS-MT5 series), 10-30VDC, PNP NO, 5-10 m</t>
  </si>
  <si>
    <t xml:space="preserve">SBM Electric Techno Pvt Ltd (IndiaMART)</t>
  </si>
  <si>
    <t xml:space="preserve">Gurugram (ships from Gurugram)</t>
  </si>
  <si>
    <t xml:space="preserve">https://m.indiamart.com/proddetail/ps-mt5-usb2-delta-18mm-thru-beam-gkdp-18-3a30-pc-my3n-j-24vdc-my3n-j-12vdc-my3n-j-110vac-pyf11a-e-26029950830.html</t>
  </si>
  <si>
    <t xml:space="preserve">Pioneer Enterprises, New Delhi: boom-barrier photocell 12-24VDC 20 m Rs 3,500 excl GST https://m.indiamart.com/proddetail/boom-barrier-photocell-sensor-2853343495312.html</t>
  </si>
  <si>
    <t xml:space="preserve">Listed Rs 1,797.00 excl GST; +18% GST applied. Qty 2 = emitter + receiver priced per piece (conservative). Confirm whether the price covers a pair. 25-Oct: listing title mixes several models, brand field says Omron, and sensing distance is given as both 1 m and 5-10 m; it has no EN 12978 / self-test claim. 25 Oct: the PNP output is now compatible, because the schematic input was changed to active-high (24 V on the terminal = beam clear = LED on). Required receiver mode: light-ON (output driven while the beam is clear) so a cut wire or lost supply reads as blocked; confirm on the part.</t>
  </si>
  <si>
    <t xml:space="preserve">E-stop</t>
  </si>
  <si>
    <t xml:space="preserve">ProMax 22mm emergency-stop mushroom, metal, 2-pole (listing says 'waterproof'; IP rating not stated)</t>
  </si>
  <si>
    <t xml:space="preserve">https://probots.co.in/promax-22mm-emergency-stop-switch-mushroom-head-waterproof-metal-2-pole.html</t>
  </si>
  <si>
    <t xml:space="preserve">Listed Rs 899.00 incl GST. Rated 1A DC (listing is inconsistent: 3 A / 10 A elsewhere on the page): it breaks the motor-relay coil / driver enable, not motor current directly. 25 Oct: now actually in the coil loop of the contactor K1 below (contacts rated 1 A DC; coil current about 0.2 A assumed, to be confirmed).</t>
  </si>
  <si>
    <t xml:space="preserve">Motor power contactor K1</t>
  </si>
  <si>
    <t xml:space="preserve">Schneider Electric LC1D09BD, 3-pole TeSys D contactor, 24 VDC coil (E-stop in the coil loop; wire the three power poles in series in the +24 V motor line)</t>
  </si>
  <si>
    <t xml:space="preserve">Prem Associates (IndiaMART)</t>
  </si>
  <si>
    <t xml:space="preserve">New Delhi</t>
  </si>
  <si>
    <t xml:space="preserve">https://m.indiamart.com/proddetail/schneider-lc1d09bd-power-contactors-23214488912.html</t>
  </si>
  <si>
    <t xml:space="preserve">Industricals, Mumbai: LC1D09BD Rs 1,950 excl GST https://m.indiamart.com/proddetail/schneider-9-24a-3-pole-440v-dc-contactor-lc1d09bd-18744546455.html</t>
  </si>
  <si>
    <t xml:space="preserve">Listed Rs 1,039.00 excluding all taxes (seller GST-registered); +18% GST applied = Rs 1,226.02. Replaces the Rs 299 24 V relay module (PRO4603), which could not implement the E-stop coil loop (ESDS section 11 item 3). Coil power and DC-3/DC-5 contact rating are NOT on the listing: confirm on the Schneider datasheet (assumed 0.2 A coil hold, 24 V; 5 A inductive motor load across series poles). Prices and stock are not confirmed with the seller.</t>
  </si>
  <si>
    <t xml:space="preserve">Presence sensor under boom (inductive loop detector)</t>
  </si>
  <si>
    <t xml:space="preserve">Single-channel inductive loop detector PD132, 230 V AC 50 Hz, relay output (SAFETY F4 secondary protection); loop wire laid in the wiring line</t>
  </si>
  <si>
    <t xml:space="preserve">Golf Automation Solutions Pvt Ltd (IndiaMART)</t>
  </si>
  <si>
    <t xml:space="preserve">Noida</t>
  </si>
  <si>
    <t xml:space="preserve">https://m.indiamart.com/proddetail/loop-detector-pd132-2851226164712.html</t>
  </si>
  <si>
    <t xml:space="preserve">Bharat Trade Automation, Ghaziabad: single/dual channel loop detector Rs 2,000 excl GST https://m.indiamart.com/proddetail/vehicle-loop-detector-dual-channel-21612227255.html</t>
  </si>
  <si>
    <t xml:space="preserve">Listed Rs 1,800 excluding all taxes (unit not stated; seller GST-registered); +18% GST = Rs 2,124.00. Supply 230 V AC, relay output rating NOT stated: wire its dry contact between +24V_FIELD and the PRESENCE input (J5.6), and confirm the contact rating. The loop wire (about 10 m of 1.5 sq mm) and a saw-cut are in the wiring estimate. Under EN 12978 an inductive loop is outside scope, so it stays secondary protection beside the through-beam pair.</t>
  </si>
  <si>
    <t xml:space="preserve">Flange bearings UCFL204 x2</t>
  </si>
  <si>
    <t xml:space="preserve">UCFL204 oval 2-bolt flange bearing unit, 20 mm bore, 2 off (MATERIALS section c, stub shaft support)</t>
  </si>
  <si>
    <t xml:space="preserve">Arihant Enterprises (IndiaMART)</t>
  </si>
  <si>
    <t xml:space="preserve">Chennai</t>
  </si>
  <si>
    <t xml:space="preserve">https://m.indiamart.com/proddetail/ucfl204-flange-block-bearing-20588331712.html</t>
  </si>
  <si>
    <t xml:space="preserve">A.J. Traders, Mumbai: JSN UCFL204 Rs 115 excl GST (bore 20-40 mm range listed) https://m.indiamart.com/proddetail/ucfl-pillow-block-bearings-ucfl204-20568146348.html</t>
  </si>
  <si>
    <t xml:space="preserve">Listed Rs 200 excluding all taxes per piece (brands BXY/NTN/FAG/TR listed together; bore 20 mm); +18% GST = Rs 236.00. Brand and quality are not guaranteed by a listing: ask for a branded unit if the budget allows.</t>
  </si>
  <si>
    <t xml:space="preserve">Barrier drive-train machined parts</t>
  </si>
  <si>
    <t xml:space="preserve">Ø20 EN8 stub shaft + 6 mm key, Ø70 6061 hub with tongue, 2x 5 mm carrier plates, bearing plate, M8 shoulder bolt, jaw coupling (MATERIALS section c)</t>
  </si>
  <si>
    <t xml:space="preserve">1,500-3,500 (line)</t>
  </si>
  <si>
    <t xml:space="preserve">Delhi NCR machine shop (to be named)</t>
  </si>
  <si>
    <t xml:space="preserve">Reliable Laser Works (Faridabad) for the plates</t>
  </si>
  <si>
    <t xml:space="preserve">ESTIMATE (no vendor page): about 1.4 kg of 6061 and EN8 (STEP: stub shaft 0.39, hub 0.27, carrier 0.31, bearing plate 0.41 kg) at the Rs 318.6/kg aluminium listing price plus turning/milling/laser allowance. Quote from a machine shop.</t>
  </si>
  <si>
    <t xml:space="preserve">Storm-lock pin + manual-release pin</t>
  </si>
  <si>
    <t xml:space="preserve">Ø10 hardened MS storm-lock pin (boom hub to frame, 93 N.m survival gust) and a lanyarded quick-release pin to disconnect the boom by hand after a power loss</t>
  </si>
  <si>
    <t xml:space="preserve">200-600 (line)</t>
  </si>
  <si>
    <t xml:space="preserve">Local hardware (Delhi NCR)</t>
  </si>
  <si>
    <t xml:space="preserve">ESTIMATE added 25 Oct (no vendor page). Replaces the unpriced '24 V backup for fail-open' GAP: the baseline mains-loss behaviour is fail-in-place with a hand release (docs/OPEN_DECISIONS.md D2). Not yet in the CAD.</t>
  </si>
  <si>
    <t xml:space="preserve">SUBTOTAL - Barrier Drive</t>
  </si>
  <si>
    <t xml:space="preserve">Power &amp; Protection</t>
  </si>
  <si>
    <t xml:space="preserve">24V SMPS</t>
  </si>
  <si>
    <t xml:space="preserve">Mean Well LRS-200-24 (24V 8.8A 211.2W)</t>
  </si>
  <si>
    <t xml:space="preserve">https://probots.co.in/smps-metal-power-supply-24v-8-8a-211-2w-lrs-200-24-mean-well.html</t>
  </si>
  <si>
    <t xml:space="preserve">Mean Well LRS-150-24 (the earlier choice) Rs 1,699 at Probots; R and D Control Systems (IndiaMART) lists Mean Well SMPS https://m.indiamart.com/r-and-d-controlsystems/switch-mode-power-supply.html</t>
  </si>
  <si>
    <t xml:space="preserve">Listed Rs 2,499.00 incl GST (Rs 2,117.80 + 381.20 GST); in stock at Nagarabhavi, Bengaluru; warranty 7 days. Page also shows a conflicting 'More information' table (10-15 A, 200-300 W): the title and description say 8.8 A / 211.2 W. Replaces the LRS-150-24 (6.5 A) because the 24 V bus peak with a 6 A motor was 8.66 A (power_model.py). With the motor limited to 5 A in firmware the peak is 7.66 A = 87 % of 8.8 A (overload starts at 110 %). Convection cooled. Moves to the separate power box (CALCS section 5). Authorised-distributor status not verified.</t>
  </si>
  <si>
    <t xml:space="preserve">12V SMPS</t>
  </si>
  <si>
    <t xml:space="preserve">Mean Well LRS-100-12 (12V 8.5A 102W)</t>
  </si>
  <si>
    <t xml:space="preserve">https://probots.co.in/mean-well-smps-12v-8-5a-102w-metal-power-supply-lrs-100-12.html</t>
  </si>
  <si>
    <t xml:space="preserve">Quote: R and D Control Systems, New Delhi</t>
  </si>
  <si>
    <t xml:space="preserve">Listed Rs 1,499.00 incl GST. In stock. Feeds the RFID reader, P10 controller and camera if not PoE.</t>
  </si>
  <si>
    <t xml:space="preserve">MCB</t>
  </si>
  <si>
    <t xml:space="preserve">Schneider Acti9 xC60 A9N1P06C, 1P 6A C-curve</t>
  </si>
  <si>
    <t xml:space="preserve">L&amp;T-SuFin (seller: SV Nexus Enterprises)</t>
  </si>
  <si>
    <t xml:space="preserve">NOT VERIFIED - seller city not shown</t>
  </si>
  <si>
    <t xml:space="preserve">https://lntsufin.com/product/schneider-electric-acti9-xc60-a9n1p06c-single-pole-6-a-c-curve-mcb/17753-69</t>
  </si>
  <si>
    <t xml:space="preserve">Buy over the counter at Bhagirath Palace / Lajpat Rai Market (Delhi) to satisfy the city rule: quote</t>
  </si>
  <si>
    <t xml:space="preserve">Listed Rs 161.66 incl GST. Price tier shown for 10-100 pcs (possible MOQ 10, worst case +Rs 1,293). Delivery 28-30 Oct stated. Seller city unverified: RULE-1 GAP. 25 Oct: sits downstream of the RCCB below in the power box; SAFETY.md says 2-pole MCB but this is 1P: use 1P+N or confirm which conductor is switched.</t>
  </si>
  <si>
    <t xml:space="preserve">Fuse holders + fuses</t>
  </si>
  <si>
    <t xml:space="preserve">5x20mm panel/inline fuse holders x4 + assorted glass fuses</t>
  </si>
  <si>
    <t xml:space="preserve">300-600 (line)</t>
  </si>
  <si>
    <t xml:space="preserve">https://probots.co.in/inline-5x20mm-glass-fuse-holder-with-22-awg-lead-wires-25pcs-bag.html</t>
  </si>
  <si>
    <t xml:space="preserve">Delhi electrical market</t>
  </si>
  <si>
    <t xml:space="preserve">Product found but price not captured: quote needed.</t>
  </si>
  <si>
    <t xml:space="preserve">AC SPD</t>
  </si>
  <si>
    <t xml:space="preserve">Type 2 SPD 1P+N, 40 kA Imax, In 30 kA, rated voltage 320 V (Uc not listed), Up &lt; 1.5 kV, DIN rail, MOV</t>
  </si>
  <si>
    <t xml:space="preserve">Samriddhi Industries (IndiaMART)</t>
  </si>
  <si>
    <t xml:space="preserve">https://m.indiamart.com/proddetail/surge-protection-device-2859297106848.html</t>
  </si>
  <si>
    <t xml:space="preserve">Quote: Delhi electrical market (OBO/Phoenix)</t>
  </si>
  <si>
    <t xml:space="preserve">Listed Rs 250.00 excl GST; +18% GST applied. Unbranded: request a datasheet/test certificate.</t>
  </si>
  <si>
    <t xml:space="preserve">12V mini DC UPS</t>
  </si>
  <si>
    <t xml:space="preserve">Enerva mini UPS 12V, 27.5 Wh (RFID reader / LED controller ride-through)</t>
  </si>
  <si>
    <t xml:space="preserve">Enervation Powertech Pvt Ltd (IndiaMART)</t>
  </si>
  <si>
    <t xml:space="preserve">https://m.indiamart.com/proddetail/mini-ups-for-wifi-router-25743173988.html</t>
  </si>
  <si>
    <t xml:space="preserve">Newtech Synergy Systems, Noida: mini UPS Rs 999</t>
  </si>
  <si>
    <t xml:space="preserve">Listed Rs 1,100.00; GST not stated, +18% applied (conservative). Listing says 'excluding all taxes' (18% added). Chemistry (LiFePO4?) and max output current not stated: confirm &gt;=1.5A at 12V. 27.5 Wh at 12 V cannot drive the 24 V barrier motor; the baseline is fail-in-place with a hand release, a 24 V buffer is optional (docs/OPEN_DECISIONS.md D2).</t>
  </si>
  <si>
    <t xml:space="preserve">Wiring &amp; cabling</t>
  </si>
  <si>
    <t xml:space="preserve">1.5/0.75 sq mm flexible cable, 3x Cat6 patch, ferrules, lugs, heat-shrink, cable ties</t>
  </si>
  <si>
    <t xml:space="preserve">1,500-2,800 (line)</t>
  </si>
  <si>
    <t xml:space="preserve">Quote needed.</t>
  </si>
  <si>
    <t xml:space="preserve">Cable glands PG-9</t>
  </si>
  <si>
    <t xml:space="preserve">PG-9 nickel-plated brass gland with PA66 insert</t>
  </si>
  <si>
    <t xml:space="preserve">https://probots.co.in/nickel-plated-brass-metal-cable-gland-gland-size-pg-7.html</t>
  </si>
  <si>
    <t xml:space="preserve">Listed Rs 132.00 incl GST. PG-9 price from related items on the PG-7 page.</t>
  </si>
  <si>
    <t xml:space="preserve">Related-product listing on vendor page</t>
  </si>
  <si>
    <t xml:space="preserve">Cable glands PG-11</t>
  </si>
  <si>
    <t xml:space="preserve">PG-11 nickel-plated brass gland</t>
  </si>
  <si>
    <t xml:space="preserve">Listed Rs 180.00 incl GST. Price from related items on the PG-7 page.</t>
  </si>
  <si>
    <t xml:space="preserve">DIN rail + terminals</t>
  </si>
  <si>
    <t xml:space="preserve">35mm DIN rail 0.5 m + 10x DIN terminal blocks + end stops</t>
  </si>
  <si>
    <t xml:space="preserve">400-900 (line)</t>
  </si>
  <si>
    <t xml:space="preserve">RCCB 30 mA</t>
  </si>
  <si>
    <t xml:space="preserve">Schneider 2-pole 25 A 30 mA RCCB, DIN rail (SAFETY F6), upstream of the two MCBs</t>
  </si>
  <si>
    <t xml:space="preserve">Trademinds (IndiaMART)</t>
  </si>
  <si>
    <t xml:space="preserve">Mumbai (Mulund West)</t>
  </si>
  <si>
    <t xml:space="preserve">https://m.indiamart.com/proddetail/schneider-25a-double-pole-rccb-22533281697.html</t>
  </si>
  <si>
    <t xml:space="preserve">Schneider RCCB listings by other sellers: https://m.indiamart.com/proddetail/schneider-electric-rccb-18276234755.html</t>
  </si>
  <si>
    <t xml:space="preserve">Listed Rs 900 per piece excluding all taxes (30 mA, 2-pole, 25 A; seller GST-verified, rating 4.5/5 from 18 reviews); +18% GST = Rs 1,062.00. Model number not listed.</t>
  </si>
  <si>
    <t xml:space="preserve">Bimetal thermostats 70/80 C</t>
  </si>
  <si>
    <t xml:space="preserve">KSD301-type NC bimetal thermostats, 70 C and 80 C, 10 A (SAFETY F7)</t>
  </si>
  <si>
    <t xml:space="preserve">150-400 (line)</t>
  </si>
  <si>
    <t xml:space="preserve">Delhi electronics market (seller to be named)</t>
  </si>
  <si>
    <t xml:space="preserve">ESTIMATE (no usable page): searched 25 Oct; KSD301-type NC 10 A units at 60-150 C exist on robu.in (Pune, rejected by the city rule) and on non-Indian sites. Quote 2 pcs (70 C and 80 C) from a Delhi electronics market.</t>
  </si>
  <si>
    <t xml:space="preserve">Power box (pole base, shaded)</t>
  </si>
  <si>
    <t xml:space="preserve">PVC IP65 hinged-door enclosure 250x190x95 mm for LRS-200-24, LRS-100-12, 2 MCBs, RCCB, SPD, mini UPS (moves 9.6 W out of the Edge box)</t>
  </si>
  <si>
    <t xml:space="preserve">Jenshri India Pvt Ltd (IndiaMART)</t>
  </si>
  <si>
    <t xml:space="preserve">https://m.indiamart.com/proddetail/250x190x95mm-outdoor-pole-box-2858984643197.html</t>
  </si>
  <si>
    <t xml:space="preserve">Hensel KG9003 217x253x115 (IP66) Rs 2,025, Vijay Kumar Sanjeev Kr Electric, New Delhi</t>
  </si>
  <si>
    <t xml:space="preserve">Listed Rs 250 per piece excluding all taxes (PVC, IP65, UV-resistant, hinged single door; seller GST-verified); +18% GST = Rs 295.00. WARNING: internal fit of the LRS-200-24 (about 99x97x30 mm), LRS-100-12, 3 DIN breakers and the SPD in 250x190x95 is not checked; a larger box may be needed (docs/OPEN_DECISIONS.md D6). Air temperature estimate 59.6 C at 45 C ambient (CALCS section 5).</t>
  </si>
  <si>
    <t xml:space="preserve">SUBTOTAL - Power &amp; Protection</t>
  </si>
  <si>
    <t xml:space="preserve">Mechanical</t>
  </si>
  <si>
    <t xml:space="preserve">80x80 Al T-slot extrusion (gantry pole)</t>
  </si>
  <si>
    <t xml:space="preserve">8080 Slot 10 mm T-slot profile, 3 m (pole 2.4 m + cut margin); CALCS needs W &gt;= 27 cm3, 8-slot, Al 6063 (T6 preferred); length in m</t>
  </si>
  <si>
    <t xml:space="preserve">Simplex Profilo Systems (IndiaMART)</t>
  </si>
  <si>
    <t xml:space="preserve">Gurugram (GST 06BMJPR6459N1Z5)</t>
  </si>
  <si>
    <t xml:space="preserve">https://m.indiamart.com/simplexprofilosystems/aluminium-extrusion-profiles.html</t>
  </si>
  <si>
    <t xml:space="preserve">No other allowed-city 80x80 listing priced</t>
  </si>
  <si>
    <t xml:space="preserve">Listed Rs 2,450.00; GST not stated, +18% applied (conservative). 25-Oct: added because cad/calcs/CALCS.md section 1 shows 40x40 fails at Delhi design wind (FoS 0.46) and the pole is now 80x80. Listing shows '8080 Slot 10mm T Slot Aluminium Profile' at Rs 2,450/m (GST not stated, +18%); weight/m, section modulus and temper are NOT listed: get the drawing and confirm W &gt;= 27 cm3 before ordering. Sold by the metre; confirm cut-to-length.</t>
  </si>
  <si>
    <t xml:space="preserve">40x40 Al T-slot extrusion</t>
  </si>
  <si>
    <t xml:space="preserve">4040 LIGHT T-slot profile, 1.2 kg/m (antenna arm 350 mm + camera arm 300 mm + spare; the pole is now 80x80, next line); length in m</t>
  </si>
  <si>
    <t xml:space="preserve">Allied Technocare (IndiaMART Chennai): 40x40 Rs 850/m https://m.indiamart.com/proddetail/40x40-aluminium-extrusion-2856866587030.html</t>
  </si>
  <si>
    <t xml:space="preserve">Listed Rs 570.00; GST not stated, +18% applied (conservative). Price per metre. The 'Medium' 4040 is Rs 550/m (weight n/s). Qty cut from 3 m to 1 m on 25-Oct: 40x40 is used only for the two arms.</t>
  </si>
  <si>
    <t xml:space="preserve">20x20 Al T-slot extrusion</t>
  </si>
  <si>
    <t xml:space="preserve">2020 European-standard profile, 600 mm piece</t>
  </si>
  <si>
    <t xml:space="preserve">https://robocraze.com/products/600mm-2020-european-standard-aluminium-profile</t>
  </si>
  <si>
    <t xml:space="preserve">Quote: Simplex Profilo Systems, Gurugram</t>
  </si>
  <si>
    <t xml:space="preserve">Listed Rs 538.00 incl GST. SOLD OUT 24-Oct, so get the Gurugram quote.</t>
  </si>
  <si>
    <t xml:space="preserve">4040 angle brackets</t>
  </si>
  <si>
    <t xml:space="preserve">DCBK 4040 die-cast Al angle bracket</t>
  </si>
  <si>
    <t xml:space="preserve">Gurugram</t>
  </si>
  <si>
    <t xml:space="preserve">https://m.indiamart.com/simplexprofilosystems/</t>
  </si>
  <si>
    <t xml:space="preserve">Listed Rs 35.00; GST not stated, +18% applied (conservative).</t>
  </si>
  <si>
    <t xml:space="preserve">2020 angle brackets</t>
  </si>
  <si>
    <t xml:space="preserve">DCBK 2020 die-cast Al angle bracket</t>
  </si>
  <si>
    <t xml:space="preserve">Listed Rs 30.00; GST not stated, +18% applied (conservative).</t>
  </si>
  <si>
    <t xml:space="preserve">T-nuts</t>
  </si>
  <si>
    <t xml:space="preserve">Top-loading T-nut / hammer-head nut (slot size to confirm: 8 mm for 4040, 6 mm for 2020)</t>
  </si>
  <si>
    <t xml:space="preserve">Listed Rs 18.00; GST not stated, +18% applied (conservative).</t>
  </si>
  <si>
    <t xml:space="preserve">Base plate (laser-cut)</t>
  </si>
  <si>
    <t xml:space="preserve">MS IS 2062 E250 plate 250x250x16 mm (per CALCS/MATERIALS, hot-dip galvanised), 4x D14 anchor holes on 190 mm PCD + socket location</t>
  </si>
  <si>
    <t xml:space="preserve">1,200-2,500 (line)</t>
  </si>
  <si>
    <t xml:space="preserve">Reliable Laser Works Pvt Ltd (IndiaMART)</t>
  </si>
  <si>
    <t xml:space="preserve">Faridabad</t>
  </si>
  <si>
    <t xml:space="preserve">https://m.indiamart.com/proddetail/cnc-laser-cutting-service-2849776118462.html</t>
  </si>
  <si>
    <t xml:space="preserve">HB Engineering, Faridabad (Rs 15/min, Al up to 20 mm)</t>
  </si>
  <si>
    <t xml:space="preserve">Cutting listed Rs 30/sq ft (MS/SS/AL, up to 40 mm). Plate material + min-charge not listed: quote needed. 25-Oct: spec changed from Al 6061 10 mm to MS 16 mm to match CALCS (10 mm gives FoS 1.13); the Rs 1,200-2,500 range was set for the old plate and has not been re-estimated, re-quote and galvanising are open.</t>
  </si>
  <si>
    <t xml:space="preserve">Gussets (laser-cut)</t>
  </si>
  <si>
    <t xml:space="preserve">4x 6 mm MS gussets + 4x 6 mm MS socket cheeks (2 of 93x150, 2 of 81x150) per MATERIALS</t>
  </si>
  <si>
    <t xml:space="preserve">Same job as the base plate: quote needed. 25-Oct: now MS, and the 4 socket cheeks were missing from the BOM; the range has not been re-estimated.</t>
  </si>
  <si>
    <t xml:space="preserve">Boom tube 60x30 Al</t>
  </si>
  <si>
    <t xml:space="preserve">Al rectangular tube 60x30 (about 1.5 mm wall), one stock length about 3.6 m, about 2.6 kg; qty in kg</t>
  </si>
  <si>
    <t xml:space="preserve">Gokal Chand Jagan Nath Nahar (IndiaMART)</t>
  </si>
  <si>
    <t xml:space="preserve">https://m.indiamart.com/proddetail/aluminum-rectangular-pipe-2406025197.html</t>
  </si>
  <si>
    <t xml:space="preserve">Gayatri Enterprises, New Delhi Rs 250/kg; Auto Tech Industry, Gurugram Rs 260/kg</t>
  </si>
  <si>
    <t xml:space="preserve">Listed Rs 270.00; GST not stated, +18% applied (conservative). Listed Rs/kg for a 2-inch section: confirm 60x30 availability. Only 1.2 m is needed; the kg figure is an estimate from section geometry.</t>
  </si>
  <si>
    <t xml:space="preserve">Edge enclosure IP65</t>
  </si>
  <si>
    <t xml:space="preserve">GRASP IP65 modular enclosure 300x300x210 mm</t>
  </si>
  <si>
    <t xml:space="preserve">Super Electricals (IndiaMART)</t>
  </si>
  <si>
    <t xml:space="preserve">https://m.indiamart.com/proddetail/grasp-ip-65-modular-electrical-enclosures-7255097288.html</t>
  </si>
  <si>
    <t xml:space="preserve">No allowed-city 400x300x150 IP65 listing found (Idis India 400x300x150 Rs 1,050 is Ahmedabad: rejected)</t>
  </si>
  <si>
    <t xml:space="preserve">Listed Rs 1,555.00; GST not stated, +18% applied (conservative). DECISION 25 Oct: this bought 300x300x210 box is the design basis. Thermal result: box size is not the lever (0.6 K between 300x300x210 and 300x400x180, CALCS section 5); CAD/STEP/MATERIALS still model 300x400x180, so the DIN layout, heat-sink window and gasket drawing must be re-checked by the CAD owner (docs/OPEN_DECISIONS.md D6). No 400x300 size is listed at Super Electricals.</t>
  </si>
  <si>
    <t xml:space="preserve">PETG filament</t>
  </si>
  <si>
    <t xml:space="preserve">Anycubic PETG 1.75 mm 1 kg</t>
  </si>
  <si>
    <t xml:space="preserve">https://robocraze.com/search?q=petg+filament</t>
  </si>
  <si>
    <t xml:space="preserve">Moglix: eSUN PETG 1kg Rs 1,744 incl GST (available on request)</t>
  </si>
  <si>
    <t xml:space="preserve">Listed Rs 902.00 incl GST. For brackets, node housings, sign bezel. ASA not found at an allowed vendor: PETG used outdoors (UV risk). MATERIALS.md and CALCS assume ASA for the pole cap, cable boot, Pi tray, boom tip cap and occupancy nodes: either source ASA or accept PETG and change those documents.</t>
  </si>
  <si>
    <t xml:space="preserve">M3 fasteners</t>
  </si>
  <si>
    <t xml:space="preserve">M3 bolt+nut sets (20/25/40 mm)</t>
  </si>
  <si>
    <t xml:space="preserve">https://probots.co.in/m3x25mm-bolts-and-nuts.html</t>
  </si>
  <si>
    <t xml:space="preserve">Listed Rs 3.00 incl GST. Price per set from Probots listing grid.</t>
  </si>
  <si>
    <t xml:space="preserve">Structural fasteners</t>
  </si>
  <si>
    <t xml:space="preserve">4x M12 anchor bolts, M8/M6 SS bolts, washers, nyloc nuts</t>
  </si>
  <si>
    <t xml:space="preserve">800-1,600 (line)</t>
  </si>
  <si>
    <t xml:space="preserve">Delhi hardware market (seller to be named)</t>
  </si>
  <si>
    <t xml:space="preserve">Counterweight + shear pins</t>
  </si>
  <si>
    <t xml:space="preserve">MS counterweight 7 plates 100x60x10 (3.30 kg) + 5 mm 6061-T6 breakaway shear pins (spares)</t>
  </si>
  <si>
    <t xml:space="preserve">300-700 (line)</t>
  </si>
  <si>
    <t xml:space="preserve">Local fabricator (Delhi NCR)</t>
  </si>
  <si>
    <t xml:space="preserve">ESTIMATE (no vendor page). 7 MS plates 100x60x10 = 3.30 kg are the adopted counterweight (94 % balance; CALCS section 4) plus spare 5 mm 6061-T6 breakaway pins (the design gust loads the pin to 89 % of its break moment, so spares matter). Quote from a local fabricator.</t>
  </si>
  <si>
    <t xml:space="preserve">Barrier housing</t>
  </si>
  <si>
    <t xml:space="preserve">MS base plate 360x310x8, 20x20 frame, 2 mm 5052 skins + 3 mm roof, powder coat (MATERIALS section c)</t>
  </si>
  <si>
    <t xml:space="preserve">5,000-9,000 (line)</t>
  </si>
  <si>
    <t xml:space="preserve">ESTIMATE (no vendor page). STEP masses: 6.90 kg MS base plate, 2.71 kg Al frame, 5.43 kg skins/roof. Aluminium 8.1 kg x Rs 318.6/kg (boom-tube listing) = Rs 2,600, MS plate about Rs 600, laser/brake/weld/powder-coat allowance Rs 2,000-5,000. Quote from Reliable Laser Works (IndiaMART, Delhi NCR) or similar.</t>
  </si>
  <si>
    <t xml:space="preserve">Edge heat sink + sun hood</t>
  </si>
  <si>
    <t xml:space="preserve">200x150 extruded Al sink, 18 fins x 35 mm; 2 mm Al sun hood with 25 mm air gap; EPDM window gasket (CALCS section 5)</t>
  </si>
  <si>
    <t xml:space="preserve">2,000-4,500 (line)</t>
  </si>
  <si>
    <t xml:space="preserve">Delhi NCR heat-sink dealer + Reliable Laser Works, Faridabad</t>
  </si>
  <si>
    <t xml:space="preserve">Delhi NCR / Faridabad</t>
  </si>
  <si>
    <t xml:space="preserve">ESTIMATE (no usable page): IndiaMART heat-sink pages found (Himalay Engineering, Mumbai: Rs 400/piece for an undimensioned sink; Marshah Electronics, Mumbai: extruded 6063-T5 with no price) do not state a 200x150 mm, 18-fin size. Sink 1.17 kg + sun hood 0.95 kg of Al plus cutting/bending. Quote. Without both the thermal prediction does not hold (CALCS section 5).</t>
  </si>
  <si>
    <t xml:space="preserve">Vent + M25/M20/M16 glands</t>
  </si>
  <si>
    <t xml:space="preserve">ePTFE breather vent, nylon glands M25 x1, M20 x3, M16 x1 (MATERIALS section b)</t>
  </si>
  <si>
    <t xml:space="preserve">Delhi electrical market (seller to be named)</t>
  </si>
  <si>
    <t xml:space="preserve">ESTIMATE (no vendor page opened for ePTFE vents or nylon glands from an allowed city). 1 vent + 5 glands. Quote.</t>
  </si>
  <si>
    <t xml:space="preserve">Cable duct (38x38 substitute for 40x25)</t>
  </si>
  <si>
    <t xml:space="preserve">PVC cable duct 38x38 mm, 2 m pieces (cover not stated), 4 m for the pole run; the CAD duct is 40x25</t>
  </si>
  <si>
    <t xml:space="preserve">AR Industries (IndiaMART)</t>
  </si>
  <si>
    <t xml:space="preserve">https://m.indiamart.com/proddetail/pvc-cable-duct-2859724144062.html</t>
  </si>
  <si>
    <t xml:space="preserve">Surana Enterprises, Bengaluru: 25 mm duct tray Rs 38/m https://m.indiamart.com/proddetail/pvc-cable-duct-tray-6719781833.html</t>
  </si>
  <si>
    <t xml:space="preserve">Listed Rs 45 per metre excluding all taxes, 2 m per piece (qty is metres); +18% GST = Rs 53.10/m. Size is 38x38, not the CAD 40x25; material, UV-stabilisation and cover are not stated. No 40x25 listing was found in the allowed cities.</t>
  </si>
  <si>
    <t xml:space="preserve">SUBTOTAL - Mechanical</t>
  </si>
  <si>
    <t xml:space="preserve">Total of priced lines (verified vendor prices)</t>
  </si>
  <si>
    <t xml:space="preserve">Total of estimate lines - LOW (ESTIMATE)</t>
  </si>
  <si>
    <t xml:space="preserve">Total of estimate lines - HIGH (ESTIMATE)</t>
  </si>
  <si>
    <t xml:space="preserve">Base budget = priced + estimates HIGH</t>
  </si>
  <si>
    <t xml:space="preserve">Contingency 10% of base budget</t>
  </si>
  <si>
    <t xml:space="preserve">GRAND TOTAL (INR, incl GST)</t>
  </si>
  <si>
    <t xml:space="preserve">All prices INR incl. 18% GST (added where a page listed ex-GST or did not state GST). First checked 2026-10-24; vendor pages re-checked 2026-10-25 (see column P); new pages for the 25 Oct design update were checked 2026-10-25. Yellow cells = ESTIMATES, not vendor prices. After the 25 Oct review there are NO unpriced GAP lines left: each former GAP is either priced from a listing or carries a labelled estimate range. Lines with quantity 0 are superseded and kept for reference. Shipping not included.</t>
  </si>
  <si>
    <t xml:space="preserve">Priced lines (INR)</t>
  </si>
  <si>
    <t xml:space="preserve">Estimate lines low (INR)</t>
  </si>
  <si>
    <t xml:space="preserve">Estimate lines high (INR)</t>
  </si>
  <si>
    <t xml:space="preserve">Budget = priced + est. high (INR)</t>
  </si>
  <si>
    <t xml:space="preserve">Max lead time (days)</t>
  </si>
  <si>
    <t xml:space="preserve"># lines</t>
  </si>
  <si>
    <t xml:space="preserve"># estimate lines</t>
  </si>
  <si>
    <t xml:space="preserve"># unpriced GAP lines (not in budget)</t>
  </si>
  <si>
    <t xml:space="preserve">TOTAL</t>
  </si>
  <si>
    <t xml:space="preserve">Contingency 10%</t>
  </si>
  <si>
    <t xml:space="preserve">GRAND TOTAL</t>
  </si>
  <si>
    <t xml:space="preserve">Cross-check: Summary GRAND TOTAL must equal BOM GRAND TOTAL -&gt;</t>
  </si>
  <si>
    <t xml:space="preserve">#</t>
  </si>
  <si>
    <t xml:space="preserve">URL</t>
  </si>
  <si>
    <t xml:space="preserve">Used for</t>
  </si>
  <si>
    <t xml:space="preserve">What it verified</t>
  </si>
  <si>
    <t xml:space="preserve">Edge Node: Raspberry Pi 5 8GB</t>
  </si>
  <si>
    <t xml:space="preserve">Product page | re-checked 25-Oct, see BOM notes</t>
  </si>
  <si>
    <t xml:space="preserve">Edge Node: Raspberry Pi AI HAT+ 26 TOPS</t>
  </si>
  <si>
    <t xml:space="preserve">Edge Node: Active cooler</t>
  </si>
  <si>
    <t xml:space="preserve">Edge Node: microSD card 128GB</t>
  </si>
  <si>
    <t xml:space="preserve">Edge Node: USB-C PSU (bench / commissioning)</t>
  </si>
  <si>
    <t xml:space="preserve">Edge Node: 24V-&gt;5.1V 5A buck (Pi 5 feed in enclosure)</t>
  </si>
  <si>
    <t xml:space="preserve">Edge Node: Pi 5 UPS module (&gt;=10 min ride-through)</t>
  </si>
  <si>
    <t xml:space="preserve">ESTIMATE - quote needed | re-checked 25-Oct, see BOM notes</t>
  </si>
  <si>
    <t xml:space="preserve">Lane Controller PCB: MCU module</t>
  </si>
  <si>
    <t xml:space="preserve">Lane Controller PCB: RS485 transceiver</t>
  </si>
  <si>
    <t xml:space="preserve">Lane Controller PCB: RS485 TVS</t>
  </si>
  <si>
    <t xml:space="preserve">Lane Controller PCB: H-bridge motor driver</t>
  </si>
  <si>
    <t xml:space="preserve">Lane Controller PCB: 3.3V regulator</t>
  </si>
  <si>
    <t xml:space="preserve">Lane Controller PCB: Optocouplers</t>
  </si>
  <si>
    <t xml:space="preserve">Lane Controller PCB: Screw terminals</t>
  </si>
  <si>
    <t xml:space="preserve">Lane Controller PCB: Buzzer</t>
  </si>
  <si>
    <t xml:space="preserve">Lane Controller PCB: Status RGB LED</t>
  </si>
  <si>
    <t xml:space="preserve">Lane Controller PCB: PCB fabrication</t>
  </si>
  <si>
    <t xml:space="preserve">UHF RFID Reader: UHF integrated reader</t>
  </si>
  <si>
    <t xml:space="preserve">UHF RFID Reader: UHF test tags</t>
  </si>
  <si>
    <t xml:space="preserve">Store/category listing page | re-checked 25-Oct, see BOM notes</t>
  </si>
  <si>
    <t xml:space="preserve">ANPR Camera: ANPR camera 2MP IR</t>
  </si>
  <si>
    <t xml:space="preserve">PoE Switch: PoE switch</t>
  </si>
  <si>
    <t xml:space="preserve">Occupancy Nodes x4: Node MCU</t>
  </si>
  <si>
    <t xml:space="preserve">Occupancy Nodes x4: Distance sensor</t>
  </si>
  <si>
    <t xml:space="preserve">P10 LED Sign: P10 outdoor LED module</t>
  </si>
  <si>
    <t xml:space="preserve">P10 LED Sign: P10 controller (fallback)</t>
  </si>
  <si>
    <t xml:space="preserve">Barrier Drive: 24V geared DC motor</t>
  </si>
  <si>
    <t xml:space="preserve">Barrier Drive: Limit switches</t>
  </si>
  <si>
    <t xml:space="preserve">Barrier Drive: IR photo-beam pair</t>
  </si>
  <si>
    <t xml:space="preserve">Barrier Drive: E-stop</t>
  </si>
  <si>
    <t xml:space="preserve">https://probots.co.in/24v-30a-1-channel-relay-module-with-optocoupler-isolation-high-power.html</t>
  </si>
  <si>
    <t xml:space="preserve">Barrier Drive: Motor power relay</t>
  </si>
  <si>
    <t xml:space="preserve">https://probots.co.in/smps-metal-power-supply-24v-6-5a-156w-lrs-150-24-mean-well.html</t>
  </si>
  <si>
    <t xml:space="preserve">Power &amp; Protection: 24V SMPS</t>
  </si>
  <si>
    <t xml:space="preserve">Power &amp; Protection: 12V SMPS</t>
  </si>
  <si>
    <t xml:space="preserve">Power &amp; Protection: MCB</t>
  </si>
  <si>
    <t xml:space="preserve">Power &amp; Protection: Fuse holders + fuses</t>
  </si>
  <si>
    <t xml:space="preserve">Power &amp; Protection: AC SPD</t>
  </si>
  <si>
    <t xml:space="preserve">Power &amp; Protection: 12V mini DC UPS</t>
  </si>
  <si>
    <t xml:space="preserve">Power &amp; Protection: Cable glands PG-9</t>
  </si>
  <si>
    <t xml:space="preserve">Mechanical: 80x80 Al T-slot extrusion (gantry pole)</t>
  </si>
  <si>
    <t xml:space="preserve">Mechanical: 20x20 Al T-slot extrusion</t>
  </si>
  <si>
    <t xml:space="preserve">Mechanical: 4040 angle brackets</t>
  </si>
  <si>
    <t xml:space="preserve">Mechanical: Base plate (laser-cut)</t>
  </si>
  <si>
    <t xml:space="preserve">Mechanical: Boom tube 60x30 Al</t>
  </si>
  <si>
    <t xml:space="preserve">Mechanical: Edge enclosure IP65</t>
  </si>
  <si>
    <t xml:space="preserve">Mechanical: PETG filament</t>
  </si>
  <si>
    <t xml:space="preserve">Mechanical: M3 fasteners</t>
  </si>
  <si>
    <t xml:space="preserve">https://robocraze.com/products/raspberry-pi-5-8gb</t>
  </si>
  <si>
    <t xml:space="preserve">Edge Node: Raspberry Pi 5 8GB (alt vendor)</t>
  </si>
  <si>
    <t xml:space="preserve">Alt-vendor price/stock | re-checked 25-Oct, see BOM notes</t>
  </si>
  <si>
    <t xml:space="preserve">https://robocraze.com/products/official-raspberry-pi-ai-hat-26-tops</t>
  </si>
  <si>
    <t xml:space="preserve">Edge Node: Raspberry Pi AI HAT+ 26 TOPS (alt vendor)</t>
  </si>
  <si>
    <t xml:space="preserve">https://probots.co.in/esp32-s3-wroom-1-n16r8-development-board-wireless-module-wifi-bluetooth.html</t>
  </si>
  <si>
    <t xml:space="preserve">Lane Controller PCB: MCU module (alt vendor)</t>
  </si>
  <si>
    <t xml:space="preserve">Alt-vendor price/stock</t>
  </si>
  <si>
    <t xml:space="preserve">https://probots.co.in/uart-ttl-to-rs485-serial-converter.html</t>
  </si>
  <si>
    <t xml:space="preserve">Lane Controller PCB: RS485 transceiver (alt vendor)</t>
  </si>
  <si>
    <t xml:space="preserve">https://www.thingbits.in/products/bts7960-43a-h-bridge-motor-driver</t>
  </si>
  <si>
    <t xml:space="preserve">Lane Controller PCB: H-bridge motor driver (alt vendor)</t>
  </si>
  <si>
    <t xml:space="preserve">https://m.indiamart.com/ecotracksystems/integrated-reader.html</t>
  </si>
  <si>
    <t xml:space="preserve">UHF RFID Reader: UHF integrated reader (alt vendor)</t>
  </si>
  <si>
    <t xml:space="preserve">https://m.indiamart.com/proddetail/hikvision-ds-2cd1023g0e-i-2-mp-ir-fixed-network-bullet-camera-22509971212.html</t>
  </si>
  <si>
    <t xml:space="preserve">ANPR Camera: ANPR camera 2MP IR (alt vendor)</t>
  </si>
  <si>
    <t xml:space="preserve">https://m.indiamart.com/proddetail/8-port-gigabit-ethernet-plus-with-4-ports-poe-53w-24243207948.html</t>
  </si>
  <si>
    <t xml:space="preserve">PoE Switch: PoE switch (alt vendor)</t>
  </si>
  <si>
    <t xml:space="preserve">https://thingbits.in/products/a02yyuw-waterproof-ultrasonic-sensor</t>
  </si>
  <si>
    <t xml:space="preserve">Occupancy Nodes x4: Distance sensor (alt vendor)</t>
  </si>
  <si>
    <t xml:space="preserve">https://m.indiamart.com/proddetail/outdoor-p10-red-led-display-module-21357608312.html</t>
  </si>
  <si>
    <t xml:space="preserve">P10 LED Sign: P10 outdoor LED module (alt vendor)</t>
  </si>
  <si>
    <t xml:space="preserve">https://probots.co.in/6280-24v-30rpm-reversible-worm-gear-high-torque-self-locking-motor-left.html</t>
  </si>
  <si>
    <t xml:space="preserve">Barrier Drive: 24V geared DC motor (alt vendor)</t>
  </si>
  <si>
    <t xml:space="preserve">https://m.indiamart.com/proddetail/boom-barrier-photocell-sensor-2853343495312.html</t>
  </si>
  <si>
    <t xml:space="preserve">Barrier Drive: IR photo-beam pair (alt vendor)</t>
  </si>
  <si>
    <t xml:space="preserve">https://m.indiamart.com/r-and-d-controlsystems/switch-mode-power-supply.html</t>
  </si>
  <si>
    <t xml:space="preserve">Power &amp; Protection: 24V SMPS (alt vendor)</t>
  </si>
  <si>
    <t xml:space="preserve">https://m.indiamart.com/proddetail/40x40-aluminium-extrusion-2856866587030.html</t>
  </si>
  <si>
    <t xml:space="preserve">Mechanical: 40x40 Al T-slot extrusion (alt vendor)</t>
  </si>
  <si>
    <t xml:space="preserve">https://probots.co.in/contact-us</t>
  </si>
  <si>
    <t xml:space="preserve">Vendor city - Probots</t>
  </si>
  <si>
    <t xml:space="preserve">Address: Sankalpa 530, Nagarbhavi 2nd Stage, Bengaluru 560072</t>
  </si>
  <si>
    <t xml:space="preserve">https://robocraze.com/pages/contact</t>
  </si>
  <si>
    <t xml:space="preserve">Vendor city - Robocraze</t>
  </si>
  <si>
    <t xml:space="preserve">Warehouse: 912/10, Chelekare, Kalyan Nagar, Bengaluru 560043</t>
  </si>
  <si>
    <t xml:space="preserve">https://m.indiamart.com/robocraze/profile.html</t>
  </si>
  <si>
    <t xml:space="preserve">Registered Bengaluru (Kalyananagar)</t>
  </si>
  <si>
    <t xml:space="preserve">https://hubtronics.in/index.php?route=information/contact</t>
  </si>
  <si>
    <t xml:space="preserve">Vendor REJECTED - Hubtronics</t>
  </si>
  <si>
    <t xml:space="preserve">Pimple Nilakh, Pune 411027; GSTIN 27CXIPS5926C1Z7 (Maharashtra/Pune)</t>
  </si>
  <si>
    <t xml:space="preserve">https://thingbits.in/contact</t>
  </si>
  <si>
    <t xml:space="preserve">Vendor city - Thingbits</t>
  </si>
  <si>
    <t xml:space="preserve">203 Ectasy Business Park, Mulund West, Mumbai 400080 | re-checked 25-Oct, see BOM notes</t>
  </si>
  <si>
    <t xml:space="preserve">https://www.primeabgb.com/contact-us/</t>
  </si>
  <si>
    <t xml:space="preserve">Vendor city - PrimeABGB</t>
  </si>
  <si>
    <t xml:space="preserve">Simlim Square, Lamington Road, Mumbai 400007</t>
  </si>
  <si>
    <t xml:space="preserve">https://www.tradeindia.com/products/mid-range-uhf-integrated-reader-idt-85-c7429880.html</t>
  </si>
  <si>
    <t xml:space="preserve">Vendor city + specs - ID Tech Solutions</t>
  </si>
  <si>
    <t xml:space="preserve">Plot 610, Udyog Vihar Ph V, Gurugram 122016; IDT 85 RS232/RS485/TCP/Wiegand, ~Rs 14,000 | re-checked 25-Oct, see BOM notes</t>
  </si>
  <si>
    <t xml:space="preserve">https://circuitdigest.com/interview/lioncircuits-441-crore-terra-circuits-pcb-mega-campus-in-karnataka</t>
  </si>
  <si>
    <t xml:space="preserve">Vendor city - LionCircuits</t>
  </si>
  <si>
    <t xml:space="preserve">Existing facilities in Karnataka</t>
  </si>
  <si>
    <t xml:space="preserve">https://in.element14.com/raspberry-pi/rpi5-8gb-single/rpi-5-board-2-4ghz-8gb-arm-cortex/dp/4256000</t>
  </si>
  <si>
    <t xml:space="preserve">Alt vendor - element14 India Pi 5</t>
  </si>
  <si>
    <t xml:space="preserve">Rs 16,717.93; stock ships from SG/UK in 3-6 business days | re-checked 25-Oct, see BOM notes</t>
  </si>
  <si>
    <t xml:space="preserve">https://m.indiamart.com/simplexprofilosystems/profile.html</t>
  </si>
  <si>
    <t xml:space="preserve">Vendor city - Simplex Profilo</t>
  </si>
  <si>
    <t xml:space="preserve">Gurugram, GST 06BMJPR6459N1Z5</t>
  </si>
  <si>
    <t xml:space="preserve">https://m.indiamart.com/hubtronics/testimonial.html</t>
  </si>
  <si>
    <t xml:space="preserve">IndiaMART lists Pune, Maharashtra</t>
  </si>
  <si>
    <t xml:space="preserve">https://m.indiamart.com/idisindia/plastic-enclosures.html</t>
  </si>
  <si>
    <t xml:space="preserve">Vendor REJECTED - Idis India enclosure</t>
  </si>
  <si>
    <t xml:space="preserve">Ahmedabad</t>
  </si>
  <si>
    <t xml:space="preserve">https://m.indiamart.com/proddetail/cp-plus-cp-unc-tc21zl6c-vmds-network-ir-bullet-camera-26025370433.html</t>
  </si>
  <si>
    <t xml:space="preserve">Camera REJECTED</t>
  </si>
  <si>
    <t xml:space="preserve">Ahmednagar seller</t>
  </si>
  <si>
    <t xml:space="preserve">https://m.indiamart.com/proddetail/hikvision-ds-2cd1023g2-liu-2mp-fixed-bullet-network-camera-2855177890397.html</t>
  </si>
  <si>
    <t xml:space="preserve">Dehradun seller</t>
  </si>
  <si>
    <t xml:space="preserve">https://www.moglix.com/esun-1kg-175mm-solid-yellow-petg-3d-printer-filament/mp/msng9vnqjpjdkp</t>
  </si>
  <si>
    <t xml:space="preserve">Alt PETG</t>
  </si>
  <si>
    <t xml:space="preserve">eSUN PETG Rs 1,744 incl GST</t>
  </si>
  <si>
    <t xml:space="preserve">https://probots.co.in/6280-24v-100rpm-reversible-worm-gear-high-torque-self-locking-motor-left.html</t>
  </si>
  <si>
    <t xml:space="preserve">Motor option considered</t>
  </si>
  <si>
    <t xml:space="preserve">35 kg-cm, 100 rpm, Rs 10,399</t>
  </si>
  <si>
    <t xml:space="preserve">https://probots.co.in/micro-limit-switch-roller.html</t>
  </si>
  <si>
    <t xml:space="preserve">Alt limit switch</t>
  </si>
  <si>
    <t xml:space="preserve">Rs 69, OOS</t>
  </si>
  <si>
    <t xml:space="preserve">Power &amp; Protection: 24V SMPS (LRS-200-24)</t>
  </si>
  <si>
    <t xml:space="preserve">Barrier Drive: Motor power contactor K1</t>
  </si>
  <si>
    <t xml:space="preserve">https://m.indiamart.com/proddetail/schneider-9-24a-3-pole-440v-dc-contactor-lc1d09bd-18744546455.html</t>
  </si>
  <si>
    <t xml:space="preserve">Barrier Drive: Motor power contactor K1 (alt vendor)</t>
  </si>
  <si>
    <t xml:space="preserve">Alt-vendor price</t>
  </si>
  <si>
    <t xml:space="preserve">Barrier Drive: Presence sensor (loop detector)</t>
  </si>
  <si>
    <t xml:space="preserve">Barrier Drive: Flange bearings UCFL204 x2</t>
  </si>
  <si>
    <t xml:space="preserve">https://m.indiamart.com/proddetail/ucfl-pillow-block-bearings-ucfl204-20568146348.html</t>
  </si>
  <si>
    <t xml:space="preserve">Barrier Drive: Flange bearings UCFL204 x2 (alt vendor)</t>
  </si>
  <si>
    <t xml:space="preserve">Power &amp; Protection: RCCB 30 mA</t>
  </si>
  <si>
    <t xml:space="preserve">Power &amp; Protection: Power box</t>
  </si>
  <si>
    <t xml:space="preserve">Mechanical: Cable duct</t>
  </si>
  <si>
    <t xml:space="preserve">https://probots.co.in/pb-5840-31zy-24v-10-rpm-dc-worm-gear-reduction-motor.html</t>
  </si>
  <si>
    <t xml:space="preserve">45 kg.cm (4.4 N.m), 80 kg.cm stall, 10 rpm, Rs 1,799, out of stock: far below the need</t>
  </si>
  <si>
    <t xml:space="preserve">https://m.indiamart.com/himalay-engineering/heatsinks.html</t>
  </si>
  <si>
    <t xml:space="preserve">Heat sink search (no usable size/price)</t>
  </si>
  <si>
    <t xml:space="preserve">Mumbai seller: heatsinks Rs 400/piece, no 200x150 size</t>
  </si>
  <si>
    <t xml:space="preserve">https://m.indiamart.com/marshahelectronics/heat-sink.html</t>
  </si>
  <si>
    <t xml:space="preserve">Mumbai seller: extruded 6063-T5 sink, price on request</t>
  </si>
  <si>
    <t xml:space="preserve">https://www.systeal.com/en/40-series-profiles/1433-aluminium-profile-10-mm-slot-80x80.html</t>
  </si>
  <si>
    <t xml:space="preserve">Pole mass reconciliation (non-Indian reference, not a purchase source)</t>
  </si>
  <si>
    <t xml:space="preserve">80x80 10 mm slot: 4.45 kg/m, 1649 mm2, I = 130 cm4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</si>
</sst>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₹#,##0.00"/>
    <numFmt numFmtId="166" formatCode="\₹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u val="single"/>
      <sz val="11"/>
      <color rgb="FF0563C1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i val="true"/>
      <sz val="11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probots.co.in/raspberry-pi-5-model-b-bcm2712-arm-cortex-a76-8gb-ram-2-4ghz-single-board-computer.html" TargetMode="External"/><Relationship Id="rId2" Type="http://schemas.openxmlformats.org/officeDocument/2006/relationships/hyperlink" Target="https://probots.co.in/official-raspberry-pi-ai-hat-26-tops.html" TargetMode="External"/><Relationship Id="rId3" Type="http://schemas.openxmlformats.org/officeDocument/2006/relationships/hyperlink" Target="https://probots.co.in/official-raspberry-pi-5-active-cooler-heatsink-fan.html" TargetMode="External"/><Relationship Id="rId4" Type="http://schemas.openxmlformats.org/officeDocument/2006/relationships/hyperlink" Target="https://robocraze.com/search?q=sandisk" TargetMode="External"/><Relationship Id="rId5" Type="http://schemas.openxmlformats.org/officeDocument/2006/relationships/hyperlink" Target="https://probots.co.in/raspberry-pi-27w-usb-c-power-supply-white-in-plug.html" TargetMode="External"/><Relationship Id="rId6" Type="http://schemas.openxmlformats.org/officeDocument/2006/relationships/hyperlink" Target="https://probots.co.in/xl4015-step-down-buck-converter-adjustable-max-output-36v-5a.html" TargetMode="External"/><Relationship Id="rId7" Type="http://schemas.openxmlformats.org/officeDocument/2006/relationships/hyperlink" Target="https://probots.co.in/metal-case-raspberry-pi-5-x1202-ups-board.html" TargetMode="External"/><Relationship Id="rId8" Type="http://schemas.openxmlformats.org/officeDocument/2006/relationships/hyperlink" Target="https://lioncircuits.com/parts/ESP32-S3-WROOM-1-N16R8" TargetMode="External"/><Relationship Id="rId9" Type="http://schemas.openxmlformats.org/officeDocument/2006/relationships/hyperlink" Target="https://lioncircuits.com/parts/MAX3485ESA+T" TargetMode="External"/><Relationship Id="rId10" Type="http://schemas.openxmlformats.org/officeDocument/2006/relationships/hyperlink" Target="https://lioncircuits.com/parts/SM712.TCT" TargetMode="External"/><Relationship Id="rId11" Type="http://schemas.openxmlformats.org/officeDocument/2006/relationships/hyperlink" Target="https://probots.co.in/bts7960-43a-stepper-motor-driver-h-bridge-high-power-module-motor-control.html" TargetMode="External"/><Relationship Id="rId12" Type="http://schemas.openxmlformats.org/officeDocument/2006/relationships/hyperlink" Target="https://probots.co.in/xl4015-step-down-buck-converter-adjustable-max-output-36v-5a.html" TargetMode="External"/><Relationship Id="rId13" Type="http://schemas.openxmlformats.org/officeDocument/2006/relationships/hyperlink" Target="https://lioncircuits.com/parts/AP2112K-3.3TRG1" TargetMode="External"/><Relationship Id="rId14" Type="http://schemas.openxmlformats.org/officeDocument/2006/relationships/hyperlink" Target="https://lioncircuits.com/parts/PC817C" TargetMode="External"/><Relationship Id="rId15" Type="http://schemas.openxmlformats.org/officeDocument/2006/relationships/hyperlink" Target="https://probots.co.in/2-pin-fixed-screw-terminal-block-connector-5-08mm.html" TargetMode="External"/><Relationship Id="rId16" Type="http://schemas.openxmlformats.org/officeDocument/2006/relationships/hyperlink" Target="https://probots.co.in/piezo-electric-buzzer-alarm-3v-24v-continuous-b27.html" TargetMode="External"/><Relationship Id="rId17" Type="http://schemas.openxmlformats.org/officeDocument/2006/relationships/hyperlink" Target="https://probots.co.in/rgb-led-12-bit-ws2812-circular-development-board.html" TargetMode="External"/><Relationship Id="rId18" Type="http://schemas.openxmlformats.org/officeDocument/2006/relationships/hyperlink" Target="https://lioncircuits.com/" TargetMode="External"/><Relationship Id="rId19" Type="http://schemas.openxmlformats.org/officeDocument/2006/relationships/hyperlink" Target="https://lioncircuits.com/" TargetMode="External"/><Relationship Id="rId20" Type="http://schemas.openxmlformats.org/officeDocument/2006/relationships/hyperlink" Target="https://m.indiamart.com/ecotracksystems/profile.html" TargetMode="External"/><Relationship Id="rId21" Type="http://schemas.openxmlformats.org/officeDocument/2006/relationships/hyperlink" Target="https://probots.co.in/vl53l1x-tof-laser-ranging-sensor-module.html" TargetMode="External"/><Relationship Id="rId22" Type="http://schemas.openxmlformats.org/officeDocument/2006/relationships/hyperlink" Target="https://probots.co.in/rgb-led-12-bit-ws2812-circular-development-board.html" TargetMode="External"/><Relationship Id="rId23" Type="http://schemas.openxmlformats.org/officeDocument/2006/relationships/hyperlink" Target="https://probots.co.in/w00-led-display-single-colour-wifi-controller-card-hd.html" TargetMode="External"/><Relationship Id="rId24" Type="http://schemas.openxmlformats.org/officeDocument/2006/relationships/hyperlink" Target="https://probots.co.in/xl4015-step-down-buck-converter-adjustable-max-output-36v-5a.html" TargetMode="External"/><Relationship Id="rId25" Type="http://schemas.openxmlformats.org/officeDocument/2006/relationships/hyperlink" Target="https://probots.co.in/rotary-adjustable-roller-micro-limit-switch-me-8108.html" TargetMode="External"/><Relationship Id="rId26" Type="http://schemas.openxmlformats.org/officeDocument/2006/relationships/hyperlink" Target="https://m.indiamart.com/proddetail/ps-mt5-usb2-delta-18mm-thru-beam-gkdp-18-3a30-pc-my3n-j-24vdc-my3n-j-12vdc-my3n-j-110vac-pyf11a-e-26029950830.html" TargetMode="External"/><Relationship Id="rId27" Type="http://schemas.openxmlformats.org/officeDocument/2006/relationships/hyperlink" Target="https://probots.co.in/promax-22mm-emergency-stop-switch-mushroom-head-waterproof-metal-2-pole.html" TargetMode="External"/><Relationship Id="rId28" Type="http://schemas.openxmlformats.org/officeDocument/2006/relationships/hyperlink" Target="https://probots.co.in/24v-30a-1-channel-relay-module-with-optocoupler-isolation-high-power.html" TargetMode="External"/><Relationship Id="rId29" Type="http://schemas.openxmlformats.org/officeDocument/2006/relationships/hyperlink" Target="https://probots.co.in/inline-5x20mm-glass-fuse-holder-with-22-awg-lead-wires-25pcs-bag.html" TargetMode="External"/><Relationship Id="rId30" Type="http://schemas.openxmlformats.org/officeDocument/2006/relationships/hyperlink" Target="https://m.indiamart.com/proddetail/surge-protection-device-2859297106848.html" TargetMode="External"/><Relationship Id="rId31" Type="http://schemas.openxmlformats.org/officeDocument/2006/relationships/hyperlink" Target="https://m.indiamart.com/proddetail/mini-ups-for-wifi-router-25743173988.html" TargetMode="External"/><Relationship Id="rId32" Type="http://schemas.openxmlformats.org/officeDocument/2006/relationships/hyperlink" Target="https://probots.co.in/nickel-plated-brass-metal-cable-gland-gland-size-pg-7.html" TargetMode="External"/><Relationship Id="rId33" Type="http://schemas.openxmlformats.org/officeDocument/2006/relationships/hyperlink" Target="https://probots.co.in/nickel-plated-brass-metal-cable-gland-gland-size-pg-7.html" TargetMode="External"/><Relationship Id="rId34" Type="http://schemas.openxmlformats.org/officeDocument/2006/relationships/hyperlink" Target="https://m.indiamart.com/simplexprofilosystems/aluminium-extrusion-profiles.html" TargetMode="External"/><Relationship Id="rId35" Type="http://schemas.openxmlformats.org/officeDocument/2006/relationships/hyperlink" Target="https://m.indiamart.com/simplexprofilosystems/" TargetMode="External"/><Relationship Id="rId36" Type="http://schemas.openxmlformats.org/officeDocument/2006/relationships/hyperlink" Target="https://m.indiamart.com/simplexprofilosystems/" TargetMode="External"/><Relationship Id="rId37" Type="http://schemas.openxmlformats.org/officeDocument/2006/relationships/hyperlink" Target="https://m.indiamart.com/simplexprofilosystems/" TargetMode="External"/><Relationship Id="rId38" Type="http://schemas.openxmlformats.org/officeDocument/2006/relationships/hyperlink" Target="https://m.indiamart.com/proddetail/cnc-laser-cutting-service-2849776118462.html" TargetMode="External"/><Relationship Id="rId39" Type="http://schemas.openxmlformats.org/officeDocument/2006/relationships/hyperlink" Target="https://m.indiamart.com/proddetail/cnc-laser-cutting-service-2849776118462.html" TargetMode="External"/><Relationship Id="rId40" Type="http://schemas.openxmlformats.org/officeDocument/2006/relationships/hyperlink" Target="https://m.indiamart.com/proddetail/aluminum-rectangular-pipe-2406025197.html" TargetMode="External"/><Relationship Id="rId41" Type="http://schemas.openxmlformats.org/officeDocument/2006/relationships/hyperlink" Target="https://m.indiamart.com/proddetail/grasp-ip-65-modular-electrical-enclosures-7255097288.html" TargetMode="External"/><Relationship Id="rId42" Type="http://schemas.openxmlformats.org/officeDocument/2006/relationships/hyperlink" Target="https://robocraze.com/search?q=petg+filament" TargetMode="External"/><Relationship Id="rId43" Type="http://schemas.openxmlformats.org/officeDocument/2006/relationships/hyperlink" Target="https://probots.co.in/m3x25mm-bolts-and-nuts.html" TargetMode="External"/><Relationship Id="rId44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probots.co.in/raspberry-pi-5-model-b-bcm2712-arm-cortex-a76-8gb-ram-2-4ghz-single-board-computer.html" TargetMode="External"/><Relationship Id="rId2" Type="http://schemas.openxmlformats.org/officeDocument/2006/relationships/hyperlink" Target="https://probots.co.in/official-raspberry-pi-ai-hat-26-tops.html" TargetMode="External"/><Relationship Id="rId3" Type="http://schemas.openxmlformats.org/officeDocument/2006/relationships/hyperlink" Target="https://probots.co.in/official-raspberry-pi-5-active-cooler-heatsink-fan.html" TargetMode="External"/><Relationship Id="rId4" Type="http://schemas.openxmlformats.org/officeDocument/2006/relationships/hyperlink" Target="https://robocraze.com/search?q=sandisk" TargetMode="External"/><Relationship Id="rId5" Type="http://schemas.openxmlformats.org/officeDocument/2006/relationships/hyperlink" Target="https://probots.co.in/raspberry-pi-27w-usb-c-power-supply-white-in-plug.html" TargetMode="External"/><Relationship Id="rId6" Type="http://schemas.openxmlformats.org/officeDocument/2006/relationships/hyperlink" Target="https://probots.co.in/xl4015-step-down-buck-converter-adjustable-max-output-36v-5a.html" TargetMode="External"/><Relationship Id="rId7" Type="http://schemas.openxmlformats.org/officeDocument/2006/relationships/hyperlink" Target="https://probots.co.in/metal-case-raspberry-pi-5-x1202-ups-board.html" TargetMode="External"/><Relationship Id="rId8" Type="http://schemas.openxmlformats.org/officeDocument/2006/relationships/hyperlink" Target="https://lioncircuits.com/parts/ESP32-S3-WROOM-1-N16R8" TargetMode="External"/><Relationship Id="rId9" Type="http://schemas.openxmlformats.org/officeDocument/2006/relationships/hyperlink" Target="https://lioncircuits.com/parts/MAX3485ESA+T" TargetMode="External"/><Relationship Id="rId10" Type="http://schemas.openxmlformats.org/officeDocument/2006/relationships/hyperlink" Target="https://lioncircuits.com/parts/SM712.TCT" TargetMode="External"/><Relationship Id="rId11" Type="http://schemas.openxmlformats.org/officeDocument/2006/relationships/hyperlink" Target="https://probots.co.in/bts7960-43a-stepper-motor-driver-h-bridge-high-power-module-motor-control.html" TargetMode="External"/><Relationship Id="rId12" Type="http://schemas.openxmlformats.org/officeDocument/2006/relationships/hyperlink" Target="https://lioncircuits.com/parts/AP2112K-3.3TRG1" TargetMode="External"/><Relationship Id="rId13" Type="http://schemas.openxmlformats.org/officeDocument/2006/relationships/hyperlink" Target="https://lioncircuits.com/parts/PC817C" TargetMode="External"/><Relationship Id="rId14" Type="http://schemas.openxmlformats.org/officeDocument/2006/relationships/hyperlink" Target="https://probots.co.in/2-pin-fixed-screw-terminal-block-connector-5-08mm.html" TargetMode="External"/><Relationship Id="rId15" Type="http://schemas.openxmlformats.org/officeDocument/2006/relationships/hyperlink" Target="https://probots.co.in/piezo-electric-buzzer-alarm-3v-24v-continuous-b27.html" TargetMode="External"/><Relationship Id="rId16" Type="http://schemas.openxmlformats.org/officeDocument/2006/relationships/hyperlink" Target="https://probots.co.in/rgb-led-12-bit-ws2812-circular-development-board.html" TargetMode="External"/><Relationship Id="rId17" Type="http://schemas.openxmlformats.org/officeDocument/2006/relationships/hyperlink" Target="https://lioncircuits.com/" TargetMode="External"/><Relationship Id="rId18" Type="http://schemas.openxmlformats.org/officeDocument/2006/relationships/hyperlink" Target="https://www.industrybuying.com/card-reader-id-tech-ITE.CAR.38552208" TargetMode="External"/><Relationship Id="rId19" Type="http://schemas.openxmlformats.org/officeDocument/2006/relationships/hyperlink" Target="https://m.indiamart.com/ecotracksystems/profile.html" TargetMode="External"/><Relationship Id="rId20" Type="http://schemas.openxmlformats.org/officeDocument/2006/relationships/hyperlink" Target="https://m.indiamart.com/proddetail/cp-plus-cp-unc-td21zl6c-vmds-bullet-camera-2854862398948.html" TargetMode="External"/><Relationship Id="rId21" Type="http://schemas.openxmlformats.org/officeDocument/2006/relationships/hyperlink" Target="https://m.indiamart.com/proddetail/5-port-gigabit-ethernet-poe-unmanaged-switch-gs305p-netgear-2856793072391.html" TargetMode="External"/><Relationship Id="rId22" Type="http://schemas.openxmlformats.org/officeDocument/2006/relationships/hyperlink" Target="https://probots.co.in/esp32-c3-supermini-wifi-bluetooth-development-board-32-bit-risc-v-uart-i2c-spi.html" TargetMode="External"/><Relationship Id="rId23" Type="http://schemas.openxmlformats.org/officeDocument/2006/relationships/hyperlink" Target="https://probots.co.in/vl53l1x-tof-laser-ranging-sensor-module.html" TargetMode="External"/><Relationship Id="rId24" Type="http://schemas.openxmlformats.org/officeDocument/2006/relationships/hyperlink" Target="https://probots.co.in/p10-red-smd-outdoor-led-display-module-160x320mm.html" TargetMode="External"/><Relationship Id="rId25" Type="http://schemas.openxmlformats.org/officeDocument/2006/relationships/hyperlink" Target="https://probots.co.in/w00-led-display-single-colour-wifi-controller-card-hd.html" TargetMode="External"/><Relationship Id="rId26" Type="http://schemas.openxmlformats.org/officeDocument/2006/relationships/hyperlink" Target="https://www.moglix.com/lucas-tvs-wiper-motor-assembly-24-v-18-nm-for-hindustan-72-71b-front-end-loader-front-screentriv-luc-tsrxs6/mp/msnl5gln362yk4" TargetMode="External"/><Relationship Id="rId27" Type="http://schemas.openxmlformats.org/officeDocument/2006/relationships/hyperlink" Target="https://probots.co.in/rotary-adjustable-roller-micro-limit-switch-me-8108.html" TargetMode="External"/><Relationship Id="rId28" Type="http://schemas.openxmlformats.org/officeDocument/2006/relationships/hyperlink" Target="https://m.indiamart.com/proddetail/ps-mt5-usb2-delta-18mm-thru-beam-gkdp-18-3a30-pc-my3n-j-24vdc-my3n-j-12vdc-my3n-j-110vac-pyf11a-e-26029950830.html" TargetMode="External"/><Relationship Id="rId29" Type="http://schemas.openxmlformats.org/officeDocument/2006/relationships/hyperlink" Target="https://probots.co.in/promax-22mm-emergency-stop-switch-mushroom-head-waterproof-metal-2-pole.html" TargetMode="External"/><Relationship Id="rId30" Type="http://schemas.openxmlformats.org/officeDocument/2006/relationships/hyperlink" Target="https://probots.co.in/24v-30a-1-channel-relay-module-with-optocoupler-isolation-high-power.html" TargetMode="External"/><Relationship Id="rId31" Type="http://schemas.openxmlformats.org/officeDocument/2006/relationships/hyperlink" Target="https://probots.co.in/smps-metal-power-supply-24v-6-5a-156w-lrs-150-24-mean-well.html" TargetMode="External"/><Relationship Id="rId32" Type="http://schemas.openxmlformats.org/officeDocument/2006/relationships/hyperlink" Target="https://probots.co.in/mean-well-smps-12v-8-5a-102w-metal-power-supply-lrs-100-12.html" TargetMode="External"/><Relationship Id="rId33" Type="http://schemas.openxmlformats.org/officeDocument/2006/relationships/hyperlink" Target="https://lntsufin.com/product/schneider-electric-acti9-xc60-a9n1p06c-single-pole-6-a-c-curve-mcb/17753-69" TargetMode="External"/><Relationship Id="rId34" Type="http://schemas.openxmlformats.org/officeDocument/2006/relationships/hyperlink" Target="https://probots.co.in/inline-5x20mm-glass-fuse-holder-with-22-awg-lead-wires-25pcs-bag.html" TargetMode="External"/><Relationship Id="rId35" Type="http://schemas.openxmlformats.org/officeDocument/2006/relationships/hyperlink" Target="https://m.indiamart.com/proddetail/surge-protection-device-2859297106848.html" TargetMode="External"/><Relationship Id="rId36" Type="http://schemas.openxmlformats.org/officeDocument/2006/relationships/hyperlink" Target="https://m.indiamart.com/proddetail/mini-ups-for-wifi-router-25743173988.html" TargetMode="External"/><Relationship Id="rId37" Type="http://schemas.openxmlformats.org/officeDocument/2006/relationships/hyperlink" Target="https://probots.co.in/nickel-plated-brass-metal-cable-gland-gland-size-pg-7.html" TargetMode="External"/><Relationship Id="rId38" Type="http://schemas.openxmlformats.org/officeDocument/2006/relationships/hyperlink" Target="https://m.indiamart.com/simplexprofilosystems/aluminium-extrusion-profiles.html" TargetMode="External"/><Relationship Id="rId39" Type="http://schemas.openxmlformats.org/officeDocument/2006/relationships/hyperlink" Target="https://robocraze.com/products/600mm-2020-european-standard-aluminium-profile" TargetMode="External"/><Relationship Id="rId40" Type="http://schemas.openxmlformats.org/officeDocument/2006/relationships/hyperlink" Target="https://m.indiamart.com/simplexprofilosystems/" TargetMode="External"/><Relationship Id="rId41" Type="http://schemas.openxmlformats.org/officeDocument/2006/relationships/hyperlink" Target="https://m.indiamart.com/proddetail/cnc-laser-cutting-service-2849776118462.html" TargetMode="External"/><Relationship Id="rId42" Type="http://schemas.openxmlformats.org/officeDocument/2006/relationships/hyperlink" Target="https://m.indiamart.com/proddetail/aluminum-rectangular-pipe-2406025197.html" TargetMode="External"/><Relationship Id="rId43" Type="http://schemas.openxmlformats.org/officeDocument/2006/relationships/hyperlink" Target="https://m.indiamart.com/proddetail/grasp-ip-65-modular-electrical-enclosures-7255097288.html" TargetMode="External"/><Relationship Id="rId44" Type="http://schemas.openxmlformats.org/officeDocument/2006/relationships/hyperlink" Target="https://robocraze.com/search?q=petg+filament" TargetMode="External"/><Relationship Id="rId45" Type="http://schemas.openxmlformats.org/officeDocument/2006/relationships/hyperlink" Target="https://probots.co.in/m3x25mm-bolts-and-nuts.html" TargetMode="External"/><Relationship Id="rId46" Type="http://schemas.openxmlformats.org/officeDocument/2006/relationships/hyperlink" Target="https://robocraze.com/products/raspberry-pi-5-8gb" TargetMode="External"/><Relationship Id="rId47" Type="http://schemas.openxmlformats.org/officeDocument/2006/relationships/hyperlink" Target="https://robocraze.com/products/official-raspberry-pi-ai-hat-26-tops" TargetMode="External"/><Relationship Id="rId48" Type="http://schemas.openxmlformats.org/officeDocument/2006/relationships/hyperlink" Target="https://probots.co.in/esp32-s3-wroom-1-n16r8-development-board-wireless-module-wifi-bluetooth.html" TargetMode="External"/><Relationship Id="rId49" Type="http://schemas.openxmlformats.org/officeDocument/2006/relationships/hyperlink" Target="https://probots.co.in/uart-ttl-to-rs485-serial-converter.html" TargetMode="External"/><Relationship Id="rId50" Type="http://schemas.openxmlformats.org/officeDocument/2006/relationships/hyperlink" Target="https://www.thingbits.in/products/bts7960-43a-h-bridge-motor-driver" TargetMode="External"/><Relationship Id="rId51" Type="http://schemas.openxmlformats.org/officeDocument/2006/relationships/hyperlink" Target="https://m.indiamart.com/ecotracksystems/integrated-reader.html" TargetMode="External"/><Relationship Id="rId52" Type="http://schemas.openxmlformats.org/officeDocument/2006/relationships/hyperlink" Target="https://m.indiamart.com/proddetail/hikvision-ds-2cd1023g0e-i-2-mp-ir-fixed-network-bullet-camera-22509971212.html" TargetMode="External"/><Relationship Id="rId53" Type="http://schemas.openxmlformats.org/officeDocument/2006/relationships/hyperlink" Target="https://m.indiamart.com/proddetail/8-port-gigabit-ethernet-plus-with-4-ports-poe-53w-24243207948.html" TargetMode="External"/><Relationship Id="rId54" Type="http://schemas.openxmlformats.org/officeDocument/2006/relationships/hyperlink" Target="https://thingbits.in/products/a02yyuw-waterproof-ultrasonic-sensor" TargetMode="External"/><Relationship Id="rId55" Type="http://schemas.openxmlformats.org/officeDocument/2006/relationships/hyperlink" Target="https://m.indiamart.com/proddetail/outdoor-p10-red-led-display-module-21357608312.html" TargetMode="External"/><Relationship Id="rId56" Type="http://schemas.openxmlformats.org/officeDocument/2006/relationships/hyperlink" Target="https://probots.co.in/6280-24v-30rpm-reversible-worm-gear-high-torque-self-locking-motor-left.html" TargetMode="External"/><Relationship Id="rId57" Type="http://schemas.openxmlformats.org/officeDocument/2006/relationships/hyperlink" Target="https://m.indiamart.com/proddetail/boom-barrier-photocell-sensor-2853343495312.html" TargetMode="External"/><Relationship Id="rId58" Type="http://schemas.openxmlformats.org/officeDocument/2006/relationships/hyperlink" Target="https://m.indiamart.com/r-and-d-controlsystems/switch-mode-power-supply.html" TargetMode="External"/><Relationship Id="rId59" Type="http://schemas.openxmlformats.org/officeDocument/2006/relationships/hyperlink" Target="https://m.indiamart.com/proddetail/40x40-aluminium-extrusion-2856866587030.html" TargetMode="External"/><Relationship Id="rId60" Type="http://schemas.openxmlformats.org/officeDocument/2006/relationships/hyperlink" Target="https://probots.co.in/contact-us" TargetMode="External"/><Relationship Id="rId61" Type="http://schemas.openxmlformats.org/officeDocument/2006/relationships/hyperlink" Target="https://robocraze.com/pages/contact" TargetMode="External"/><Relationship Id="rId62" Type="http://schemas.openxmlformats.org/officeDocument/2006/relationships/hyperlink" Target="https://m.indiamart.com/robocraze/profile.html" TargetMode="External"/><Relationship Id="rId63" Type="http://schemas.openxmlformats.org/officeDocument/2006/relationships/hyperlink" Target="https://hubtronics.in/index.php?route=information/contact" TargetMode="External"/><Relationship Id="rId64" Type="http://schemas.openxmlformats.org/officeDocument/2006/relationships/hyperlink" Target="https://thingbits.in/contact" TargetMode="External"/><Relationship Id="rId65" Type="http://schemas.openxmlformats.org/officeDocument/2006/relationships/hyperlink" Target="https://www.primeabgb.com/contact-us/" TargetMode="External"/><Relationship Id="rId66" Type="http://schemas.openxmlformats.org/officeDocument/2006/relationships/hyperlink" Target="https://www.tradeindia.com/products/mid-range-uhf-integrated-reader-idt-85-c7429880.html" TargetMode="External"/><Relationship Id="rId67" Type="http://schemas.openxmlformats.org/officeDocument/2006/relationships/hyperlink" Target="https://circuitdigest.com/interview/lioncircuits-441-crore-terra-circuits-pcb-mega-campus-in-karnataka" TargetMode="External"/><Relationship Id="rId68" Type="http://schemas.openxmlformats.org/officeDocument/2006/relationships/hyperlink" Target="https://in.element14.com/raspberry-pi/rpi5-8gb-single/rpi-5-board-2-4ghz-8gb-arm-cortex/dp/4256000" TargetMode="External"/><Relationship Id="rId69" Type="http://schemas.openxmlformats.org/officeDocument/2006/relationships/hyperlink" Target="https://m.indiamart.com/simplexprofilosystems/profile.html" TargetMode="External"/><Relationship Id="rId70" Type="http://schemas.openxmlformats.org/officeDocument/2006/relationships/hyperlink" Target="https://m.indiamart.com/hubtronics/testimonial.html" TargetMode="External"/><Relationship Id="rId71" Type="http://schemas.openxmlformats.org/officeDocument/2006/relationships/hyperlink" Target="https://m.indiamart.com/idisindia/plastic-enclosures.html" TargetMode="External"/><Relationship Id="rId72" Type="http://schemas.openxmlformats.org/officeDocument/2006/relationships/hyperlink" Target="https://m.indiamart.com/proddetail/cp-plus-cp-unc-tc21zl6c-vmds-network-ir-bullet-camera-26025370433.html" TargetMode="External"/><Relationship Id="rId73" Type="http://schemas.openxmlformats.org/officeDocument/2006/relationships/hyperlink" Target="https://m.indiamart.com/proddetail/hikvision-ds-2cd1023g2-liu-2mp-fixed-bullet-network-camera-2855177890397.html" TargetMode="External"/><Relationship Id="rId74" Type="http://schemas.openxmlformats.org/officeDocument/2006/relationships/hyperlink" Target="https://www.moglix.com/esun-1kg-175mm-solid-yellow-petg-3d-printer-filament/mp/msng9vnqjpjdkp" TargetMode="External"/><Relationship Id="rId75" Type="http://schemas.openxmlformats.org/officeDocument/2006/relationships/hyperlink" Target="https://probots.co.in/6280-24v-100rpm-reversible-worm-gear-high-torque-self-locking-motor-left.html" TargetMode="External"/><Relationship Id="rId76" Type="http://schemas.openxmlformats.org/officeDocument/2006/relationships/hyperlink" Target="https://probots.co.in/micro-limit-switch-roller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0"/>
    <col collapsed="false" customWidth="true" hidden="false" outlineLevel="0" max="3" min="3" style="1" width="46"/>
    <col collapsed="false" customWidth="true" hidden="false" outlineLevel="0" max="4" min="4" style="1" width="7"/>
    <col collapsed="false" customWidth="true" hidden="false" outlineLevel="0" max="5" min="5" style="1" width="14"/>
    <col collapsed="false" customWidth="true" hidden="false" outlineLevel="0" max="6" min="6" style="1" width="16"/>
    <col collapsed="false" customWidth="true" hidden="false" outlineLevel="0" max="7" min="7" style="1" width="22"/>
    <col collapsed="false" customWidth="true" hidden="false" outlineLevel="0" max="9" min="8" style="1" width="30"/>
    <col collapsed="false" customWidth="true" hidden="false" outlineLevel="0" max="10" min="10" style="1" width="16"/>
    <col collapsed="false" customWidth="true" hidden="false" outlineLevel="0" max="11" min="11" style="1" width="10"/>
    <col collapsed="false" customWidth="true" hidden="false" outlineLevel="0" max="12" min="12" style="1" width="50"/>
    <col collapsed="false" customWidth="true" hidden="false" outlineLevel="0" max="13" min="13" style="1" width="60"/>
    <col collapsed="false" customWidth="true" hidden="false" outlineLevel="0" max="14" min="14" style="1" width="70"/>
    <col collapsed="false" customWidth="true" hidden="false" outlineLevel="0" max="15" min="15" style="1" width="30"/>
    <col collapsed="false" customWidth="true" hidden="false" outlineLevel="0" max="18" min="16" style="1" width="12"/>
  </cols>
  <sheetData>
    <row r="1" customFormat="false" ht="31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customFormat="false" ht="54.75" hidden="false" customHeight="true" outlineLevel="0" collapsed="false">
      <c r="A2" s="3" t="s">
        <v>18</v>
      </c>
      <c r="B2" s="3" t="s">
        <v>19</v>
      </c>
      <c r="C2" s="3" t="s">
        <v>20</v>
      </c>
      <c r="D2" s="3" t="n">
        <v>1</v>
      </c>
      <c r="E2" s="4" t="n">
        <v>22499</v>
      </c>
      <c r="F2" s="4" t="n">
        <f aca="false">IF(ISNUMBER(E2),D2*E2,0)</f>
        <v>22499</v>
      </c>
      <c r="G2" s="3"/>
      <c r="H2" s="3" t="s">
        <v>21</v>
      </c>
      <c r="I2" s="3" t="s">
        <v>22</v>
      </c>
      <c r="J2" s="3" t="s">
        <v>23</v>
      </c>
      <c r="K2" s="3" t="n">
        <v>4</v>
      </c>
      <c r="L2" s="5" t="s">
        <v>24</v>
      </c>
      <c r="M2" s="3" t="s">
        <v>25</v>
      </c>
      <c r="N2" s="3" t="s">
        <v>26</v>
      </c>
      <c r="O2" s="3" t="s">
        <v>27</v>
      </c>
      <c r="P2" s="3" t="s">
        <v>28</v>
      </c>
      <c r="Q2" s="4" t="n">
        <v>0</v>
      </c>
      <c r="R2" s="4" t="n">
        <v>0</v>
      </c>
    </row>
    <row r="3" customFormat="false" ht="27.75" hidden="false" customHeight="true" outlineLevel="0" collapsed="false">
      <c r="A3" s="3" t="s">
        <v>18</v>
      </c>
      <c r="B3" s="3" t="s">
        <v>29</v>
      </c>
      <c r="C3" s="3" t="s">
        <v>30</v>
      </c>
      <c r="D3" s="3" t="n">
        <v>1</v>
      </c>
      <c r="E3" s="4" t="n">
        <v>14999</v>
      </c>
      <c r="F3" s="4" t="n">
        <f aca="false">IF(ISNUMBER(E3),D3*E3,0)</f>
        <v>14999</v>
      </c>
      <c r="G3" s="3"/>
      <c r="H3" s="3" t="s">
        <v>21</v>
      </c>
      <c r="I3" s="3" t="s">
        <v>22</v>
      </c>
      <c r="J3" s="3" t="s">
        <v>23</v>
      </c>
      <c r="K3" s="3" t="n">
        <v>4</v>
      </c>
      <c r="L3" s="5" t="s">
        <v>31</v>
      </c>
      <c r="M3" s="3" t="s">
        <v>32</v>
      </c>
      <c r="N3" s="3" t="s">
        <v>33</v>
      </c>
      <c r="O3" s="3" t="s">
        <v>27</v>
      </c>
      <c r="P3" s="3" t="s">
        <v>28</v>
      </c>
      <c r="Q3" s="4" t="n">
        <v>0</v>
      </c>
      <c r="R3" s="4" t="n">
        <v>0</v>
      </c>
    </row>
    <row r="4" customFormat="false" ht="27.75" hidden="false" customHeight="true" outlineLevel="0" collapsed="false">
      <c r="A4" s="3" t="s">
        <v>18</v>
      </c>
      <c r="B4" s="3" t="s">
        <v>34</v>
      </c>
      <c r="C4" s="3" t="s">
        <v>35</v>
      </c>
      <c r="D4" s="3" t="n">
        <v>1</v>
      </c>
      <c r="E4" s="4" t="n">
        <v>749</v>
      </c>
      <c r="F4" s="4" t="n">
        <f aca="false">IF(ISNUMBER(E4),D4*E4,0)</f>
        <v>749</v>
      </c>
      <c r="G4" s="3"/>
      <c r="H4" s="3" t="s">
        <v>21</v>
      </c>
      <c r="I4" s="3" t="s">
        <v>22</v>
      </c>
      <c r="J4" s="3" t="s">
        <v>23</v>
      </c>
      <c r="K4" s="3" t="n">
        <v>4</v>
      </c>
      <c r="L4" s="5" t="s">
        <v>36</v>
      </c>
      <c r="M4" s="3" t="s">
        <v>37</v>
      </c>
      <c r="N4" s="3" t="s">
        <v>38</v>
      </c>
      <c r="O4" s="3" t="s">
        <v>27</v>
      </c>
      <c r="P4" s="3" t="s">
        <v>28</v>
      </c>
      <c r="Q4" s="4" t="n">
        <v>0</v>
      </c>
      <c r="R4" s="4" t="n">
        <v>0</v>
      </c>
    </row>
    <row r="5" customFormat="false" ht="27.75" hidden="false" customHeight="true" outlineLevel="0" collapsed="false">
      <c r="A5" s="3" t="s">
        <v>18</v>
      </c>
      <c r="B5" s="3" t="s">
        <v>39</v>
      </c>
      <c r="C5" s="3" t="s">
        <v>40</v>
      </c>
      <c r="D5" s="3" t="n">
        <v>1</v>
      </c>
      <c r="E5" s="4" t="n">
        <v>2725</v>
      </c>
      <c r="F5" s="4" t="n">
        <f aca="false">IF(ISNUMBER(E5),D5*E5,0)</f>
        <v>2725</v>
      </c>
      <c r="G5" s="3"/>
      <c r="H5" s="3" t="s">
        <v>41</v>
      </c>
      <c r="I5" s="3" t="s">
        <v>42</v>
      </c>
      <c r="J5" s="3" t="s">
        <v>23</v>
      </c>
      <c r="K5" s="3" t="n">
        <v>4</v>
      </c>
      <c r="L5" s="5" t="s">
        <v>43</v>
      </c>
      <c r="M5" s="3" t="s">
        <v>44</v>
      </c>
      <c r="N5" s="3" t="s">
        <v>45</v>
      </c>
      <c r="O5" s="3" t="s">
        <v>46</v>
      </c>
      <c r="P5" s="3" t="s">
        <v>47</v>
      </c>
      <c r="Q5" s="4" t="n">
        <v>0</v>
      </c>
      <c r="R5" s="4" t="n">
        <v>0</v>
      </c>
    </row>
    <row r="6" customFormat="false" ht="27.75" hidden="false" customHeight="true" outlineLevel="0" collapsed="false">
      <c r="A6" s="3" t="s">
        <v>18</v>
      </c>
      <c r="B6" s="3" t="s">
        <v>48</v>
      </c>
      <c r="C6" s="3" t="s">
        <v>49</v>
      </c>
      <c r="D6" s="3" t="n">
        <v>1</v>
      </c>
      <c r="E6" s="4" t="n">
        <v>1749</v>
      </c>
      <c r="F6" s="4" t="n">
        <f aca="false">IF(ISNUMBER(E6),D6*E6,0)</f>
        <v>1749</v>
      </c>
      <c r="G6" s="3"/>
      <c r="H6" s="3" t="s">
        <v>21</v>
      </c>
      <c r="I6" s="3" t="s">
        <v>22</v>
      </c>
      <c r="J6" s="3" t="s">
        <v>23</v>
      </c>
      <c r="K6" s="3" t="n">
        <v>4</v>
      </c>
      <c r="L6" s="5" t="s">
        <v>50</v>
      </c>
      <c r="M6" s="3" t="s">
        <v>51</v>
      </c>
      <c r="N6" s="3" t="s">
        <v>52</v>
      </c>
      <c r="O6" s="3" t="s">
        <v>27</v>
      </c>
      <c r="P6" s="3" t="s">
        <v>28</v>
      </c>
      <c r="Q6" s="4" t="n">
        <v>0</v>
      </c>
      <c r="R6" s="4" t="n">
        <v>0</v>
      </c>
    </row>
    <row r="7" customFormat="false" ht="41.25" hidden="false" customHeight="true" outlineLevel="0" collapsed="false">
      <c r="A7" s="3" t="s">
        <v>18</v>
      </c>
      <c r="B7" s="3" t="s">
        <v>53</v>
      </c>
      <c r="C7" s="3" t="s">
        <v>54</v>
      </c>
      <c r="D7" s="3" t="n">
        <v>1</v>
      </c>
      <c r="E7" s="4" t="n">
        <v>299</v>
      </c>
      <c r="F7" s="4" t="n">
        <f aca="false">IF(ISNUMBER(E7),D7*E7,0)</f>
        <v>299</v>
      </c>
      <c r="G7" s="3"/>
      <c r="H7" s="3" t="s">
        <v>21</v>
      </c>
      <c r="I7" s="3" t="s">
        <v>22</v>
      </c>
      <c r="J7" s="3" t="s">
        <v>23</v>
      </c>
      <c r="K7" s="3" t="n">
        <v>4</v>
      </c>
      <c r="L7" s="5" t="s">
        <v>55</v>
      </c>
      <c r="M7" s="3" t="s">
        <v>56</v>
      </c>
      <c r="N7" s="3" t="s">
        <v>57</v>
      </c>
      <c r="O7" s="3" t="s">
        <v>27</v>
      </c>
      <c r="P7" s="3" t="s">
        <v>28</v>
      </c>
      <c r="Q7" s="4" t="n">
        <v>0</v>
      </c>
      <c r="R7" s="4" t="n">
        <v>0</v>
      </c>
    </row>
    <row r="8" customFormat="false" ht="95.25" hidden="false" customHeight="true" outlineLevel="0" collapsed="false">
      <c r="A8" s="3" t="s">
        <v>18</v>
      </c>
      <c r="B8" s="3" t="s">
        <v>58</v>
      </c>
      <c r="C8" s="3" t="s">
        <v>59</v>
      </c>
      <c r="D8" s="3" t="n">
        <v>1</v>
      </c>
      <c r="E8" s="6" t="s">
        <v>60</v>
      </c>
      <c r="F8" s="4" t="n">
        <f aca="false">IF(ISNUMBER(E8),D8*E8,0)</f>
        <v>0</v>
      </c>
      <c r="G8" s="7" t="s">
        <v>61</v>
      </c>
      <c r="H8" s="3" t="s">
        <v>21</v>
      </c>
      <c r="I8" s="3" t="s">
        <v>22</v>
      </c>
      <c r="J8" s="3" t="s">
        <v>23</v>
      </c>
      <c r="K8" s="3" t="n">
        <v>4</v>
      </c>
      <c r="L8" s="5" t="s">
        <v>62</v>
      </c>
      <c r="M8" s="3" t="s">
        <v>63</v>
      </c>
      <c r="N8" s="3" t="s">
        <v>64</v>
      </c>
      <c r="O8" s="7" t="s">
        <v>65</v>
      </c>
      <c r="P8" s="3" t="s">
        <v>28</v>
      </c>
      <c r="Q8" s="4" t="n">
        <v>4599</v>
      </c>
      <c r="R8" s="4" t="n">
        <v>4599</v>
      </c>
    </row>
    <row r="9" customFormat="false" ht="41.25" hidden="false" customHeight="true" outlineLevel="0" collapsed="false">
      <c r="A9" s="3" t="s">
        <v>18</v>
      </c>
      <c r="B9" s="3" t="s">
        <v>66</v>
      </c>
      <c r="C9" s="3" t="s">
        <v>67</v>
      </c>
      <c r="D9" s="3" t="n">
        <v>2</v>
      </c>
      <c r="E9" s="6" t="s">
        <v>60</v>
      </c>
      <c r="F9" s="4" t="n">
        <f aca="false">IF(ISNUMBER(E9),D9*E9,0)</f>
        <v>0</v>
      </c>
      <c r="G9" s="7" t="s">
        <v>68</v>
      </c>
      <c r="H9" s="3" t="s">
        <v>21</v>
      </c>
      <c r="I9" s="3" t="s">
        <v>22</v>
      </c>
      <c r="J9" s="3" t="s">
        <v>23</v>
      </c>
      <c r="K9" s="3" t="n">
        <v>7</v>
      </c>
      <c r="L9" s="5"/>
      <c r="M9" s="3" t="s">
        <v>69</v>
      </c>
      <c r="N9" s="3" t="s">
        <v>70</v>
      </c>
      <c r="O9" s="7" t="s">
        <v>65</v>
      </c>
      <c r="P9" s="3" t="s">
        <v>47</v>
      </c>
      <c r="Q9" s="4" t="n">
        <v>500</v>
      </c>
      <c r="R9" s="4" t="n">
        <v>900</v>
      </c>
    </row>
    <row r="10" customFormat="false" ht="15" hidden="false" customHeight="true" outlineLevel="0" collapsed="false">
      <c r="A10" s="8" t="s">
        <v>18</v>
      </c>
      <c r="B10" s="8" t="s">
        <v>71</v>
      </c>
      <c r="C10" s="8"/>
      <c r="D10" s="8"/>
      <c r="E10" s="8"/>
      <c r="F10" s="9" t="n">
        <f aca="false">SUM(F2:F9)</f>
        <v>43020</v>
      </c>
      <c r="G10" s="8"/>
      <c r="H10" s="8"/>
      <c r="I10" s="8"/>
      <c r="J10" s="8"/>
      <c r="K10" s="8" t="n">
        <f aca="false">MAX(K2:K9)</f>
        <v>7</v>
      </c>
      <c r="L10" s="8"/>
      <c r="M10" s="8"/>
      <c r="N10" s="8"/>
      <c r="O10" s="8"/>
      <c r="P10" s="8"/>
      <c r="Q10" s="9" t="n">
        <f aca="false">SUM(Q2:Q9)</f>
        <v>5099</v>
      </c>
      <c r="R10" s="9" t="n">
        <f aca="false">SUM(R2:R9)</f>
        <v>5499</v>
      </c>
    </row>
    <row r="12" customFormat="false" ht="41.25" hidden="false" customHeight="true" outlineLevel="0" collapsed="false">
      <c r="A12" s="3" t="s">
        <v>72</v>
      </c>
      <c r="B12" s="3" t="s">
        <v>73</v>
      </c>
      <c r="C12" s="3" t="s">
        <v>74</v>
      </c>
      <c r="D12" s="3" t="n">
        <v>2</v>
      </c>
      <c r="E12" s="4" t="n">
        <v>1010.63</v>
      </c>
      <c r="F12" s="4" t="n">
        <f aca="false">IF(ISNUMBER(E12),D12*E12,0)</f>
        <v>2021.26</v>
      </c>
      <c r="G12" s="3"/>
      <c r="H12" s="3" t="s">
        <v>75</v>
      </c>
      <c r="I12" s="3" t="s">
        <v>76</v>
      </c>
      <c r="J12" s="3" t="s">
        <v>23</v>
      </c>
      <c r="K12" s="3" t="n">
        <v>10</v>
      </c>
      <c r="L12" s="5" t="s">
        <v>77</v>
      </c>
      <c r="M12" s="3" t="s">
        <v>78</v>
      </c>
      <c r="N12" s="3" t="s">
        <v>79</v>
      </c>
      <c r="O12" s="3" t="s">
        <v>27</v>
      </c>
      <c r="P12" s="3" t="s">
        <v>28</v>
      </c>
      <c r="Q12" s="4" t="n">
        <v>0</v>
      </c>
      <c r="R12" s="4" t="n">
        <v>0</v>
      </c>
    </row>
    <row r="13" customFormat="false" ht="41.25" hidden="false" customHeight="true" outlineLevel="0" collapsed="false">
      <c r="A13" s="3" t="s">
        <v>72</v>
      </c>
      <c r="B13" s="3" t="s">
        <v>80</v>
      </c>
      <c r="C13" s="3" t="s">
        <v>81</v>
      </c>
      <c r="D13" s="3" t="n">
        <v>0</v>
      </c>
      <c r="E13" s="4" t="n">
        <v>1100.09</v>
      </c>
      <c r="F13" s="4" t="n">
        <f aca="false">IF(ISNUMBER(E13),D13*E13,0)</f>
        <v>0</v>
      </c>
      <c r="G13" s="3"/>
      <c r="H13" s="3" t="s">
        <v>75</v>
      </c>
      <c r="I13" s="3" t="s">
        <v>76</v>
      </c>
      <c r="J13" s="3" t="s">
        <v>23</v>
      </c>
      <c r="K13" s="3" t="n">
        <v>10</v>
      </c>
      <c r="L13" s="5" t="s">
        <v>82</v>
      </c>
      <c r="M13" s="3" t="s">
        <v>83</v>
      </c>
      <c r="N13" s="3" t="s">
        <v>84</v>
      </c>
      <c r="O13" s="3" t="s">
        <v>27</v>
      </c>
      <c r="P13" s="3" t="s">
        <v>47</v>
      </c>
      <c r="Q13" s="4" t="n">
        <v>0</v>
      </c>
      <c r="R13" s="4" t="n">
        <v>0</v>
      </c>
    </row>
    <row r="14" customFormat="false" ht="41.25" hidden="false" customHeight="true" outlineLevel="0" collapsed="false">
      <c r="A14" s="3" t="s">
        <v>72</v>
      </c>
      <c r="B14" s="3" t="s">
        <v>85</v>
      </c>
      <c r="C14" s="3" t="s">
        <v>86</v>
      </c>
      <c r="D14" s="3" t="n">
        <v>2</v>
      </c>
      <c r="E14" s="4" t="n">
        <v>196.53</v>
      </c>
      <c r="F14" s="4" t="n">
        <f aca="false">IF(ISNUMBER(E14),D14*E14,0)</f>
        <v>393.06</v>
      </c>
      <c r="G14" s="3"/>
      <c r="H14" s="3" t="s">
        <v>75</v>
      </c>
      <c r="I14" s="3" t="s">
        <v>76</v>
      </c>
      <c r="J14" s="3" t="s">
        <v>23</v>
      </c>
      <c r="K14" s="3" t="n">
        <v>10</v>
      </c>
      <c r="L14" s="5" t="s">
        <v>87</v>
      </c>
      <c r="M14" s="3"/>
      <c r="N14" s="3" t="s">
        <v>88</v>
      </c>
      <c r="O14" s="3" t="s">
        <v>27</v>
      </c>
      <c r="P14" s="3" t="s">
        <v>47</v>
      </c>
      <c r="Q14" s="4" t="n">
        <v>0</v>
      </c>
      <c r="R14" s="4" t="n">
        <v>0</v>
      </c>
    </row>
    <row r="15" customFormat="false" ht="41.25" hidden="false" customHeight="true" outlineLevel="0" collapsed="false">
      <c r="A15" s="3" t="s">
        <v>72</v>
      </c>
      <c r="B15" s="3" t="s">
        <v>89</v>
      </c>
      <c r="C15" s="3" t="s">
        <v>90</v>
      </c>
      <c r="D15" s="3" t="n">
        <v>1</v>
      </c>
      <c r="E15" s="4" t="n">
        <v>699</v>
      </c>
      <c r="F15" s="4" t="n">
        <f aca="false">IF(ISNUMBER(E15),D15*E15,0)</f>
        <v>699</v>
      </c>
      <c r="G15" s="3"/>
      <c r="H15" s="3" t="s">
        <v>21</v>
      </c>
      <c r="I15" s="3" t="s">
        <v>22</v>
      </c>
      <c r="J15" s="3" t="s">
        <v>23</v>
      </c>
      <c r="K15" s="3" t="n">
        <v>4</v>
      </c>
      <c r="L15" s="5" t="s">
        <v>91</v>
      </c>
      <c r="M15" s="3" t="s">
        <v>92</v>
      </c>
      <c r="N15" s="3" t="s">
        <v>93</v>
      </c>
      <c r="O15" s="3" t="s">
        <v>27</v>
      </c>
      <c r="P15" s="3" t="s">
        <v>28</v>
      </c>
      <c r="Q15" s="4" t="n">
        <v>0</v>
      </c>
      <c r="R15" s="4" t="n">
        <v>0</v>
      </c>
    </row>
    <row r="16" customFormat="false" ht="27.75" hidden="false" customHeight="true" outlineLevel="0" collapsed="false">
      <c r="A16" s="3" t="s">
        <v>72</v>
      </c>
      <c r="B16" s="3" t="s">
        <v>94</v>
      </c>
      <c r="C16" s="3" t="s">
        <v>95</v>
      </c>
      <c r="D16" s="3" t="n">
        <v>0</v>
      </c>
      <c r="E16" s="4" t="n">
        <v>299</v>
      </c>
      <c r="F16" s="4" t="n">
        <f aca="false">IF(ISNUMBER(E16),D16*E16,0)</f>
        <v>0</v>
      </c>
      <c r="G16" s="3"/>
      <c r="H16" s="3" t="s">
        <v>21</v>
      </c>
      <c r="I16" s="3" t="s">
        <v>22</v>
      </c>
      <c r="J16" s="3" t="s">
        <v>23</v>
      </c>
      <c r="K16" s="3" t="n">
        <v>4</v>
      </c>
      <c r="L16" s="5" t="s">
        <v>55</v>
      </c>
      <c r="M16" s="3"/>
      <c r="N16" s="3" t="s">
        <v>96</v>
      </c>
      <c r="O16" s="3" t="s">
        <v>27</v>
      </c>
      <c r="P16" s="3" t="s">
        <v>28</v>
      </c>
      <c r="Q16" s="4" t="n">
        <v>0</v>
      </c>
      <c r="R16" s="4" t="n">
        <v>0</v>
      </c>
    </row>
    <row r="17" customFormat="false" ht="41.25" hidden="false" customHeight="true" outlineLevel="0" collapsed="false">
      <c r="A17" s="3" t="s">
        <v>72</v>
      </c>
      <c r="B17" s="3" t="s">
        <v>97</v>
      </c>
      <c r="C17" s="3" t="s">
        <v>98</v>
      </c>
      <c r="D17" s="3" t="n">
        <v>0</v>
      </c>
      <c r="E17" s="4" t="n">
        <v>21.33</v>
      </c>
      <c r="F17" s="4" t="n">
        <f aca="false">IF(ISNUMBER(E17),D17*E17,0)</f>
        <v>0</v>
      </c>
      <c r="G17" s="3"/>
      <c r="H17" s="3" t="s">
        <v>75</v>
      </c>
      <c r="I17" s="3" t="s">
        <v>76</v>
      </c>
      <c r="J17" s="3" t="s">
        <v>23</v>
      </c>
      <c r="K17" s="3" t="n">
        <v>10</v>
      </c>
      <c r="L17" s="5" t="s">
        <v>99</v>
      </c>
      <c r="M17" s="3"/>
      <c r="N17" s="3" t="s">
        <v>100</v>
      </c>
      <c r="O17" s="3" t="s">
        <v>27</v>
      </c>
      <c r="P17" s="3" t="s">
        <v>47</v>
      </c>
      <c r="Q17" s="4" t="n">
        <v>0</v>
      </c>
      <c r="R17" s="4" t="n">
        <v>0</v>
      </c>
    </row>
    <row r="18" customFormat="false" ht="41.25" hidden="false" customHeight="true" outlineLevel="0" collapsed="false">
      <c r="A18" s="3" t="s">
        <v>72</v>
      </c>
      <c r="B18" s="3" t="s">
        <v>101</v>
      </c>
      <c r="C18" s="3" t="s">
        <v>102</v>
      </c>
      <c r="D18" s="3" t="n">
        <v>10</v>
      </c>
      <c r="E18" s="4" t="n">
        <v>4.24</v>
      </c>
      <c r="F18" s="4" t="n">
        <f aca="false">IF(ISNUMBER(E18),D18*E18,0)</f>
        <v>42.4</v>
      </c>
      <c r="G18" s="3"/>
      <c r="H18" s="3" t="s">
        <v>75</v>
      </c>
      <c r="I18" s="3" t="s">
        <v>76</v>
      </c>
      <c r="J18" s="3" t="s">
        <v>23</v>
      </c>
      <c r="K18" s="3" t="n">
        <v>10</v>
      </c>
      <c r="L18" s="5" t="s">
        <v>103</v>
      </c>
      <c r="M18" s="3"/>
      <c r="N18" s="3" t="s">
        <v>104</v>
      </c>
      <c r="O18" s="3" t="s">
        <v>27</v>
      </c>
      <c r="P18" s="3" t="s">
        <v>47</v>
      </c>
      <c r="Q18" s="4" t="n">
        <v>0</v>
      </c>
      <c r="R18" s="4" t="n">
        <v>0</v>
      </c>
    </row>
    <row r="19" customFormat="false" ht="27.75" hidden="false" customHeight="true" outlineLevel="0" collapsed="false">
      <c r="A19" s="3" t="s">
        <v>72</v>
      </c>
      <c r="B19" s="3" t="s">
        <v>105</v>
      </c>
      <c r="C19" s="3" t="s">
        <v>106</v>
      </c>
      <c r="D19" s="3" t="n">
        <v>12</v>
      </c>
      <c r="E19" s="4" t="n">
        <v>15</v>
      </c>
      <c r="F19" s="4" t="n">
        <f aca="false">IF(ISNUMBER(E19),D19*E19,0)</f>
        <v>180</v>
      </c>
      <c r="G19" s="3"/>
      <c r="H19" s="3" t="s">
        <v>21</v>
      </c>
      <c r="I19" s="3" t="s">
        <v>22</v>
      </c>
      <c r="J19" s="3" t="s">
        <v>23</v>
      </c>
      <c r="K19" s="3" t="n">
        <v>4</v>
      </c>
      <c r="L19" s="5" t="s">
        <v>107</v>
      </c>
      <c r="M19" s="3"/>
      <c r="N19" s="3" t="s">
        <v>108</v>
      </c>
      <c r="O19" s="3" t="s">
        <v>27</v>
      </c>
      <c r="P19" s="3" t="s">
        <v>47</v>
      </c>
      <c r="Q19" s="4" t="n">
        <v>0</v>
      </c>
      <c r="R19" s="4" t="n">
        <v>0</v>
      </c>
    </row>
    <row r="20" customFormat="false" ht="27.75" hidden="false" customHeight="true" outlineLevel="0" collapsed="false">
      <c r="A20" s="3" t="s">
        <v>72</v>
      </c>
      <c r="B20" s="3" t="s">
        <v>109</v>
      </c>
      <c r="C20" s="3" t="s">
        <v>110</v>
      </c>
      <c r="D20" s="3" t="n">
        <v>1</v>
      </c>
      <c r="E20" s="4" t="n">
        <v>49</v>
      </c>
      <c r="F20" s="4" t="n">
        <f aca="false">IF(ISNUMBER(E20),D20*E20,0)</f>
        <v>49</v>
      </c>
      <c r="G20" s="3"/>
      <c r="H20" s="3" t="s">
        <v>21</v>
      </c>
      <c r="I20" s="3" t="s">
        <v>22</v>
      </c>
      <c r="J20" s="3" t="s">
        <v>23</v>
      </c>
      <c r="K20" s="3" t="n">
        <v>4</v>
      </c>
      <c r="L20" s="5" t="s">
        <v>111</v>
      </c>
      <c r="M20" s="3"/>
      <c r="N20" s="3" t="s">
        <v>112</v>
      </c>
      <c r="O20" s="3" t="s">
        <v>46</v>
      </c>
      <c r="P20" s="3" t="s">
        <v>47</v>
      </c>
      <c r="Q20" s="4" t="n">
        <v>0</v>
      </c>
      <c r="R20" s="4" t="n">
        <v>0</v>
      </c>
    </row>
    <row r="21" customFormat="false" ht="27.75" hidden="false" customHeight="true" outlineLevel="0" collapsed="false">
      <c r="A21" s="3" t="s">
        <v>72</v>
      </c>
      <c r="B21" s="3" t="s">
        <v>113</v>
      </c>
      <c r="C21" s="3" t="s">
        <v>114</v>
      </c>
      <c r="D21" s="3" t="n">
        <v>1</v>
      </c>
      <c r="E21" s="4" t="n">
        <v>149</v>
      </c>
      <c r="F21" s="4" t="n">
        <f aca="false">IF(ISNUMBER(E21),D21*E21,0)</f>
        <v>149</v>
      </c>
      <c r="G21" s="3"/>
      <c r="H21" s="3" t="s">
        <v>21</v>
      </c>
      <c r="I21" s="3" t="s">
        <v>22</v>
      </c>
      <c r="J21" s="3" t="s">
        <v>23</v>
      </c>
      <c r="K21" s="3" t="n">
        <v>4</v>
      </c>
      <c r="L21" s="5" t="s">
        <v>115</v>
      </c>
      <c r="M21" s="3"/>
      <c r="N21" s="3" t="s">
        <v>116</v>
      </c>
      <c r="O21" s="3" t="s">
        <v>27</v>
      </c>
      <c r="P21" s="3" t="s">
        <v>47</v>
      </c>
      <c r="Q21" s="4" t="n">
        <v>0</v>
      </c>
      <c r="R21" s="4" t="n">
        <v>0</v>
      </c>
    </row>
    <row r="22" customFormat="false" ht="41.25" hidden="false" customHeight="true" outlineLevel="0" collapsed="false">
      <c r="A22" s="3" t="s">
        <v>72</v>
      </c>
      <c r="B22" s="3" t="s">
        <v>117</v>
      </c>
      <c r="C22" s="3" t="s">
        <v>118</v>
      </c>
      <c r="D22" s="3" t="n">
        <v>1</v>
      </c>
      <c r="E22" s="4" t="n">
        <v>942.82</v>
      </c>
      <c r="F22" s="4" t="n">
        <f aca="false">IF(ISNUMBER(E22),D22*E22,0)</f>
        <v>942.82</v>
      </c>
      <c r="G22" s="3"/>
      <c r="H22" s="3" t="s">
        <v>75</v>
      </c>
      <c r="I22" s="3" t="s">
        <v>76</v>
      </c>
      <c r="J22" s="3" t="s">
        <v>23</v>
      </c>
      <c r="K22" s="3" t="n">
        <v>9</v>
      </c>
      <c r="L22" s="5" t="s">
        <v>119</v>
      </c>
      <c r="M22" s="3" t="s">
        <v>120</v>
      </c>
      <c r="N22" s="3" t="s">
        <v>121</v>
      </c>
      <c r="O22" s="3" t="s">
        <v>122</v>
      </c>
      <c r="P22" s="3" t="s">
        <v>47</v>
      </c>
      <c r="Q22" s="4" t="n">
        <v>0</v>
      </c>
      <c r="R22" s="4" t="n">
        <v>0</v>
      </c>
    </row>
    <row r="23" customFormat="false" ht="41.25" hidden="false" customHeight="true" outlineLevel="0" collapsed="false">
      <c r="A23" s="3" t="s">
        <v>72</v>
      </c>
      <c r="B23" s="3" t="s">
        <v>123</v>
      </c>
      <c r="C23" s="3" t="s">
        <v>124</v>
      </c>
      <c r="D23" s="3" t="n">
        <v>1</v>
      </c>
      <c r="E23" s="6" t="s">
        <v>60</v>
      </c>
      <c r="F23" s="4" t="n">
        <f aca="false">IF(ISNUMBER(E23),D23*E23,0)</f>
        <v>0</v>
      </c>
      <c r="G23" s="7" t="s">
        <v>125</v>
      </c>
      <c r="H23" s="3" t="s">
        <v>75</v>
      </c>
      <c r="I23" s="3" t="s">
        <v>76</v>
      </c>
      <c r="J23" s="3" t="s">
        <v>23</v>
      </c>
      <c r="K23" s="3" t="n">
        <v>10</v>
      </c>
      <c r="L23" s="5" t="s">
        <v>119</v>
      </c>
      <c r="M23" s="3" t="s">
        <v>126</v>
      </c>
      <c r="N23" s="3" t="s">
        <v>127</v>
      </c>
      <c r="O23" s="7" t="s">
        <v>65</v>
      </c>
      <c r="P23" s="3" t="s">
        <v>47</v>
      </c>
      <c r="Q23" s="4" t="n">
        <v>800</v>
      </c>
      <c r="R23" s="4" t="n">
        <v>1500</v>
      </c>
    </row>
    <row r="24" customFormat="false" ht="15" hidden="false" customHeight="true" outlineLevel="0" collapsed="false">
      <c r="A24" s="3" t="s">
        <v>72</v>
      </c>
      <c r="B24" s="3" t="s">
        <v>128</v>
      </c>
      <c r="C24" s="3" t="s">
        <v>129</v>
      </c>
      <c r="D24" s="3" t="n">
        <v>1</v>
      </c>
      <c r="E24" s="6" t="s">
        <v>60</v>
      </c>
      <c r="F24" s="4" t="n">
        <f aca="false">IF(ISNUMBER(E24),D24*E24,0)</f>
        <v>0</v>
      </c>
      <c r="G24" s="7" t="s">
        <v>130</v>
      </c>
      <c r="H24" s="3" t="s">
        <v>75</v>
      </c>
      <c r="I24" s="3" t="s">
        <v>76</v>
      </c>
      <c r="J24" s="3" t="s">
        <v>23</v>
      </c>
      <c r="K24" s="3" t="n">
        <v>10</v>
      </c>
      <c r="L24" s="5"/>
      <c r="M24" s="3" t="s">
        <v>131</v>
      </c>
      <c r="N24" s="3" t="s">
        <v>132</v>
      </c>
      <c r="O24" s="7" t="s">
        <v>65</v>
      </c>
      <c r="P24" s="3" t="s">
        <v>28</v>
      </c>
      <c r="Q24" s="4" t="n">
        <v>2500</v>
      </c>
      <c r="R24" s="4" t="n">
        <v>5000</v>
      </c>
    </row>
    <row r="25" customFormat="false" ht="15" hidden="false" customHeight="false" outlineLevel="0" collapsed="false">
      <c r="A25" s="8" t="s">
        <v>72</v>
      </c>
      <c r="B25" s="8" t="s">
        <v>133</v>
      </c>
      <c r="C25" s="8"/>
      <c r="D25" s="8"/>
      <c r="E25" s="8"/>
      <c r="F25" s="9" t="n">
        <f aca="false">SUM(F12:F24)</f>
        <v>4476.54</v>
      </c>
      <c r="G25" s="8"/>
      <c r="H25" s="8"/>
      <c r="I25" s="8"/>
      <c r="J25" s="8"/>
      <c r="K25" s="8" t="n">
        <f aca="false">MAX(K12:K24)</f>
        <v>10</v>
      </c>
      <c r="L25" s="8"/>
      <c r="M25" s="8"/>
      <c r="N25" s="8"/>
      <c r="O25" s="8"/>
      <c r="P25" s="8"/>
      <c r="Q25" s="9" t="n">
        <f aca="false">SUM(Q12:Q24)</f>
        <v>3300</v>
      </c>
      <c r="R25" s="9" t="n">
        <f aca="false">SUM(R12:R24)</f>
        <v>6500</v>
      </c>
    </row>
    <row r="26" customFormat="false" ht="122.25" hidden="false" customHeight="true" outlineLevel="0" collapsed="false"/>
    <row r="27" customFormat="false" ht="41.25" hidden="false" customHeight="true" outlineLevel="0" collapsed="false">
      <c r="A27" s="3" t="s">
        <v>134</v>
      </c>
      <c r="B27" s="3" t="s">
        <v>135</v>
      </c>
      <c r="C27" s="3" t="s">
        <v>136</v>
      </c>
      <c r="D27" s="3" t="n">
        <v>1</v>
      </c>
      <c r="E27" s="4" t="n">
        <v>25959</v>
      </c>
      <c r="F27" s="4" t="n">
        <f aca="false">IF(ISNUMBER(E27),D27*E27,0)</f>
        <v>25959</v>
      </c>
      <c r="G27" s="3"/>
      <c r="H27" s="3" t="s">
        <v>137</v>
      </c>
      <c r="I27" s="3" t="s">
        <v>138</v>
      </c>
      <c r="J27" s="3" t="s">
        <v>139</v>
      </c>
      <c r="K27" s="3" t="n">
        <v>6</v>
      </c>
      <c r="L27" s="5" t="s">
        <v>140</v>
      </c>
      <c r="M27" s="3" t="s">
        <v>141</v>
      </c>
      <c r="N27" s="3" t="s">
        <v>142</v>
      </c>
      <c r="O27" s="3" t="s">
        <v>27</v>
      </c>
      <c r="P27" s="3" t="s">
        <v>28</v>
      </c>
      <c r="Q27" s="4" t="n">
        <v>0</v>
      </c>
      <c r="R27" s="4" t="n">
        <v>0</v>
      </c>
    </row>
    <row r="28" customFormat="false" ht="15" hidden="false" customHeight="true" outlineLevel="0" collapsed="false">
      <c r="A28" s="3" t="s">
        <v>134</v>
      </c>
      <c r="B28" s="3" t="s">
        <v>143</v>
      </c>
      <c r="C28" s="3" t="s">
        <v>144</v>
      </c>
      <c r="D28" s="3" t="n">
        <v>10</v>
      </c>
      <c r="E28" s="4" t="n">
        <v>14.16</v>
      </c>
      <c r="F28" s="4" t="n">
        <f aca="false">IF(ISNUMBER(E28),D28*E28,0)</f>
        <v>141.6</v>
      </c>
      <c r="G28" s="3"/>
      <c r="H28" s="3" t="s">
        <v>145</v>
      </c>
      <c r="I28" s="3" t="s">
        <v>146</v>
      </c>
      <c r="J28" s="3" t="s">
        <v>139</v>
      </c>
      <c r="K28" s="3" t="n">
        <v>3</v>
      </c>
      <c r="L28" s="5" t="s">
        <v>147</v>
      </c>
      <c r="M28" s="3"/>
      <c r="N28" s="3" t="s">
        <v>148</v>
      </c>
      <c r="O28" s="3" t="s">
        <v>46</v>
      </c>
      <c r="P28" s="3" t="s">
        <v>28</v>
      </c>
      <c r="Q28" s="4" t="n">
        <v>0</v>
      </c>
      <c r="R28" s="4" t="n">
        <v>0</v>
      </c>
    </row>
    <row r="29" customFormat="false" ht="15" hidden="false" customHeight="false" outlineLevel="0" collapsed="false">
      <c r="A29" s="8" t="s">
        <v>134</v>
      </c>
      <c r="B29" s="8" t="s">
        <v>149</v>
      </c>
      <c r="C29" s="8"/>
      <c r="D29" s="8"/>
      <c r="E29" s="8"/>
      <c r="F29" s="9" t="n">
        <f aca="false">SUM(F27:F28)</f>
        <v>26100.6</v>
      </c>
      <c r="G29" s="8"/>
      <c r="H29" s="8"/>
      <c r="I29" s="8"/>
      <c r="J29" s="8"/>
      <c r="K29" s="8" t="n">
        <f aca="false">MAX(K27:K28)</f>
        <v>6</v>
      </c>
      <c r="L29" s="8"/>
      <c r="M29" s="8"/>
      <c r="N29" s="8"/>
      <c r="O29" s="8"/>
      <c r="P29" s="8"/>
      <c r="Q29" s="9" t="n">
        <f aca="false">SUM(Q27:Q28)</f>
        <v>0</v>
      </c>
      <c r="R29" s="9" t="n">
        <f aca="false">SUM(R27:R28)</f>
        <v>0</v>
      </c>
    </row>
    <row r="30" customFormat="false" ht="81.75" hidden="false" customHeight="true" outlineLevel="0" collapsed="false"/>
    <row r="31" customFormat="false" ht="15" hidden="false" customHeight="true" outlineLevel="0" collapsed="false">
      <c r="A31" s="3" t="s">
        <v>150</v>
      </c>
      <c r="B31" s="3" t="s">
        <v>151</v>
      </c>
      <c r="C31" s="3" t="s">
        <v>152</v>
      </c>
      <c r="D31" s="3" t="n">
        <v>1</v>
      </c>
      <c r="E31" s="4" t="n">
        <v>4071</v>
      </c>
      <c r="F31" s="4" t="n">
        <f aca="false">IF(ISNUMBER(E31),D31*E31,0)</f>
        <v>4071</v>
      </c>
      <c r="G31" s="3"/>
      <c r="H31" s="3" t="s">
        <v>153</v>
      </c>
      <c r="I31" s="3" t="s">
        <v>154</v>
      </c>
      <c r="J31" s="3" t="s">
        <v>23</v>
      </c>
      <c r="K31" s="3" t="n">
        <v>7</v>
      </c>
      <c r="L31" s="5" t="s">
        <v>155</v>
      </c>
      <c r="M31" s="3" t="s">
        <v>156</v>
      </c>
      <c r="N31" s="3" t="s">
        <v>157</v>
      </c>
      <c r="O31" s="3" t="s">
        <v>27</v>
      </c>
      <c r="P31" s="3" t="s">
        <v>28</v>
      </c>
      <c r="Q31" s="4" t="n">
        <v>0</v>
      </c>
      <c r="R31" s="4" t="n">
        <v>0</v>
      </c>
    </row>
    <row r="32" customFormat="false" ht="15" hidden="false" customHeight="false" outlineLevel="0" collapsed="false">
      <c r="A32" s="8" t="s">
        <v>150</v>
      </c>
      <c r="B32" s="8" t="s">
        <v>158</v>
      </c>
      <c r="C32" s="8"/>
      <c r="D32" s="8"/>
      <c r="E32" s="8"/>
      <c r="F32" s="9" t="n">
        <f aca="false">SUM(F31:F31)</f>
        <v>4071</v>
      </c>
      <c r="G32" s="8"/>
      <c r="H32" s="8"/>
      <c r="I32" s="8"/>
      <c r="J32" s="8"/>
      <c r="K32" s="8" t="n">
        <f aca="false">MAX(K31:K31)</f>
        <v>7</v>
      </c>
      <c r="L32" s="8"/>
      <c r="M32" s="8"/>
      <c r="N32" s="8"/>
      <c r="O32" s="8"/>
      <c r="P32" s="8"/>
      <c r="Q32" s="9" t="n">
        <f aca="false">SUM(Q31:Q31)</f>
        <v>0</v>
      </c>
      <c r="R32" s="9" t="n">
        <f aca="false">SUM(R31:R31)</f>
        <v>0</v>
      </c>
    </row>
    <row r="33" customFormat="false" ht="54.75" hidden="false" customHeight="true" outlineLevel="0" collapsed="false"/>
    <row r="34" customFormat="false" ht="15" hidden="false" customHeight="true" outlineLevel="0" collapsed="false">
      <c r="A34" s="3" t="s">
        <v>159</v>
      </c>
      <c r="B34" s="3" t="s">
        <v>160</v>
      </c>
      <c r="C34" s="3" t="s">
        <v>161</v>
      </c>
      <c r="D34" s="3" t="n">
        <v>1</v>
      </c>
      <c r="E34" s="4" t="n">
        <v>5310</v>
      </c>
      <c r="F34" s="4" t="n">
        <f aca="false">IF(ISNUMBER(E34),D34*E34,0)</f>
        <v>5310</v>
      </c>
      <c r="G34" s="3"/>
      <c r="H34" s="3" t="s">
        <v>162</v>
      </c>
      <c r="I34" s="3" t="s">
        <v>163</v>
      </c>
      <c r="J34" s="3" t="s">
        <v>23</v>
      </c>
      <c r="K34" s="3" t="n">
        <v>7</v>
      </c>
      <c r="L34" s="5" t="s">
        <v>164</v>
      </c>
      <c r="M34" s="3" t="s">
        <v>165</v>
      </c>
      <c r="N34" s="3" t="s">
        <v>166</v>
      </c>
      <c r="O34" s="3" t="s">
        <v>27</v>
      </c>
      <c r="P34" s="3" t="s">
        <v>28</v>
      </c>
      <c r="Q34" s="4" t="n">
        <v>0</v>
      </c>
      <c r="R34" s="4" t="n">
        <v>0</v>
      </c>
    </row>
    <row r="35" customFormat="false" ht="15" hidden="false" customHeight="false" outlineLevel="0" collapsed="false">
      <c r="A35" s="8" t="s">
        <v>159</v>
      </c>
      <c r="B35" s="8" t="s">
        <v>167</v>
      </c>
      <c r="C35" s="8"/>
      <c r="D35" s="8"/>
      <c r="E35" s="8"/>
      <c r="F35" s="9" t="n">
        <f aca="false">SUM(F34:F34)</f>
        <v>5310</v>
      </c>
      <c r="G35" s="8"/>
      <c r="H35" s="8"/>
      <c r="I35" s="8"/>
      <c r="J35" s="8"/>
      <c r="K35" s="8" t="n">
        <f aca="false">MAX(K34:K34)</f>
        <v>7</v>
      </c>
      <c r="L35" s="8"/>
      <c r="M35" s="8"/>
      <c r="N35" s="8"/>
      <c r="O35" s="8"/>
      <c r="P35" s="8"/>
      <c r="Q35" s="9" t="n">
        <f aca="false">SUM(Q34:Q34)</f>
        <v>0</v>
      </c>
      <c r="R35" s="9" t="n">
        <f aca="false">SUM(R34:R34)</f>
        <v>0</v>
      </c>
    </row>
    <row r="36" customFormat="false" ht="27.75" hidden="false" customHeight="true" outlineLevel="0" collapsed="false"/>
    <row r="37" customFormat="false" ht="41.25" hidden="false" customHeight="true" outlineLevel="0" collapsed="false">
      <c r="A37" s="3" t="s">
        <v>168</v>
      </c>
      <c r="B37" s="3" t="s">
        <v>169</v>
      </c>
      <c r="C37" s="3" t="s">
        <v>170</v>
      </c>
      <c r="D37" s="3" t="n">
        <v>4</v>
      </c>
      <c r="E37" s="4" t="n">
        <v>242</v>
      </c>
      <c r="F37" s="4" t="n">
        <f aca="false">IF(ISNUMBER(E37),D37*E37,0)</f>
        <v>968</v>
      </c>
      <c r="G37" s="3"/>
      <c r="H37" s="3" t="s">
        <v>21</v>
      </c>
      <c r="I37" s="3" t="s">
        <v>22</v>
      </c>
      <c r="J37" s="3" t="s">
        <v>23</v>
      </c>
      <c r="K37" s="3" t="n">
        <v>4</v>
      </c>
      <c r="L37" s="5" t="s">
        <v>171</v>
      </c>
      <c r="M37" s="3" t="s">
        <v>172</v>
      </c>
      <c r="N37" s="3" t="s">
        <v>173</v>
      </c>
      <c r="O37" s="3" t="s">
        <v>27</v>
      </c>
      <c r="P37" s="3" t="s">
        <v>28</v>
      </c>
      <c r="Q37" s="4" t="n">
        <v>0</v>
      </c>
      <c r="R37" s="4" t="n">
        <v>0</v>
      </c>
    </row>
    <row r="38" customFormat="false" ht="27.75" hidden="false" customHeight="true" outlineLevel="0" collapsed="false">
      <c r="A38" s="3" t="s">
        <v>168</v>
      </c>
      <c r="B38" s="3" t="s">
        <v>174</v>
      </c>
      <c r="C38" s="3" t="s">
        <v>175</v>
      </c>
      <c r="D38" s="3" t="n">
        <v>4</v>
      </c>
      <c r="E38" s="4" t="n">
        <v>799</v>
      </c>
      <c r="F38" s="4" t="n">
        <f aca="false">IF(ISNUMBER(E38),D38*E38,0)</f>
        <v>3196</v>
      </c>
      <c r="G38" s="3"/>
      <c r="H38" s="3" t="s">
        <v>21</v>
      </c>
      <c r="I38" s="3" t="s">
        <v>22</v>
      </c>
      <c r="J38" s="3" t="s">
        <v>23</v>
      </c>
      <c r="K38" s="3" t="n">
        <v>14</v>
      </c>
      <c r="L38" s="5" t="s">
        <v>176</v>
      </c>
      <c r="M38" s="3" t="s">
        <v>177</v>
      </c>
      <c r="N38" s="3" t="s">
        <v>178</v>
      </c>
      <c r="O38" s="3" t="s">
        <v>27</v>
      </c>
      <c r="P38" s="3" t="s">
        <v>28</v>
      </c>
      <c r="Q38" s="4" t="n">
        <v>0</v>
      </c>
      <c r="R38" s="4" t="n">
        <v>0</v>
      </c>
    </row>
    <row r="39" customFormat="false" ht="27.75" hidden="false" customHeight="true" outlineLevel="0" collapsed="false">
      <c r="A39" s="3" t="s">
        <v>168</v>
      </c>
      <c r="B39" s="3" t="s">
        <v>179</v>
      </c>
      <c r="C39" s="3" t="s">
        <v>180</v>
      </c>
      <c r="D39" s="3" t="n">
        <v>4</v>
      </c>
      <c r="E39" s="4" t="n">
        <v>149</v>
      </c>
      <c r="F39" s="4" t="n">
        <f aca="false">IF(ISNUMBER(E39),D39*E39,0)</f>
        <v>596</v>
      </c>
      <c r="G39" s="3"/>
      <c r="H39" s="3" t="s">
        <v>21</v>
      </c>
      <c r="I39" s="3" t="s">
        <v>22</v>
      </c>
      <c r="J39" s="3" t="s">
        <v>23</v>
      </c>
      <c r="K39" s="3" t="n">
        <v>4</v>
      </c>
      <c r="L39" s="5" t="s">
        <v>115</v>
      </c>
      <c r="M39" s="3"/>
      <c r="N39" s="3" t="s">
        <v>116</v>
      </c>
      <c r="O39" s="3" t="s">
        <v>27</v>
      </c>
      <c r="P39" s="3" t="s">
        <v>47</v>
      </c>
      <c r="Q39" s="4" t="n">
        <v>0</v>
      </c>
      <c r="R39" s="4" t="n">
        <v>0</v>
      </c>
    </row>
    <row r="40" customFormat="false" ht="15" hidden="false" customHeight="true" outlineLevel="0" collapsed="false">
      <c r="A40" s="3" t="s">
        <v>168</v>
      </c>
      <c r="B40" s="3" t="s">
        <v>181</v>
      </c>
      <c r="C40" s="3" t="s">
        <v>182</v>
      </c>
      <c r="D40" s="3" t="n">
        <v>4</v>
      </c>
      <c r="E40" s="6" t="s">
        <v>60</v>
      </c>
      <c r="F40" s="4" t="n">
        <f aca="false">IF(ISNUMBER(E40),D40*E40,0)</f>
        <v>0</v>
      </c>
      <c r="G40" s="7" t="s">
        <v>183</v>
      </c>
      <c r="H40" s="3" t="s">
        <v>184</v>
      </c>
      <c r="I40" s="3" t="s">
        <v>185</v>
      </c>
      <c r="J40" s="3" t="s">
        <v>139</v>
      </c>
      <c r="K40" s="3" t="n">
        <v>3</v>
      </c>
      <c r="L40" s="5"/>
      <c r="M40" s="3"/>
      <c r="N40" s="3" t="s">
        <v>186</v>
      </c>
      <c r="O40" s="7" t="s">
        <v>65</v>
      </c>
      <c r="P40" s="3" t="s">
        <v>47</v>
      </c>
      <c r="Q40" s="4" t="n">
        <v>800</v>
      </c>
      <c r="R40" s="4" t="n">
        <v>1400</v>
      </c>
    </row>
    <row r="41" customFormat="false" ht="15" hidden="false" customHeight="false" outlineLevel="0" collapsed="false">
      <c r="A41" s="8" t="s">
        <v>168</v>
      </c>
      <c r="B41" s="8" t="s">
        <v>187</v>
      </c>
      <c r="C41" s="8"/>
      <c r="D41" s="8"/>
      <c r="E41" s="8"/>
      <c r="F41" s="9" t="n">
        <f aca="false">SUM(F37:F40)</f>
        <v>4760</v>
      </c>
      <c r="G41" s="8"/>
      <c r="H41" s="8"/>
      <c r="I41" s="8"/>
      <c r="J41" s="8"/>
      <c r="K41" s="8" t="n">
        <f aca="false">MAX(K37:K40)</f>
        <v>14</v>
      </c>
      <c r="L41" s="8"/>
      <c r="M41" s="8"/>
      <c r="N41" s="8"/>
      <c r="O41" s="8"/>
      <c r="P41" s="8"/>
      <c r="Q41" s="9" t="n">
        <f aca="false">SUM(Q37:Q40)</f>
        <v>800</v>
      </c>
      <c r="R41" s="9" t="n">
        <f aca="false">SUM(R37:R40)</f>
        <v>1400</v>
      </c>
    </row>
    <row r="42" customFormat="false" ht="41.25" hidden="false" customHeight="true" outlineLevel="0" collapsed="false"/>
    <row r="43" customFormat="false" ht="27.75" hidden="false" customHeight="true" outlineLevel="0" collapsed="false">
      <c r="A43" s="3" t="s">
        <v>188</v>
      </c>
      <c r="B43" s="3" t="s">
        <v>189</v>
      </c>
      <c r="C43" s="3" t="s">
        <v>190</v>
      </c>
      <c r="D43" s="3" t="n">
        <v>1</v>
      </c>
      <c r="E43" s="4" t="n">
        <v>699</v>
      </c>
      <c r="F43" s="4" t="n">
        <f aca="false">IF(ISNUMBER(E43),D43*E43,0)</f>
        <v>699</v>
      </c>
      <c r="G43" s="3"/>
      <c r="H43" s="3" t="s">
        <v>21</v>
      </c>
      <c r="I43" s="3" t="s">
        <v>22</v>
      </c>
      <c r="J43" s="3" t="s">
        <v>23</v>
      </c>
      <c r="K43" s="3" t="n">
        <v>14</v>
      </c>
      <c r="L43" s="5" t="s">
        <v>191</v>
      </c>
      <c r="M43" s="3" t="s">
        <v>192</v>
      </c>
      <c r="N43" s="3" t="s">
        <v>193</v>
      </c>
      <c r="O43" s="3" t="s">
        <v>27</v>
      </c>
      <c r="P43" s="3" t="s">
        <v>28</v>
      </c>
      <c r="Q43" s="4" t="n">
        <v>0</v>
      </c>
      <c r="R43" s="4" t="n">
        <v>0</v>
      </c>
    </row>
    <row r="44" customFormat="false" ht="27.75" hidden="false" customHeight="true" outlineLevel="0" collapsed="false">
      <c r="A44" s="3" t="s">
        <v>188</v>
      </c>
      <c r="B44" s="3" t="s">
        <v>194</v>
      </c>
      <c r="C44" s="3" t="s">
        <v>195</v>
      </c>
      <c r="D44" s="3" t="n">
        <v>1</v>
      </c>
      <c r="E44" s="4" t="n">
        <v>538</v>
      </c>
      <c r="F44" s="4" t="n">
        <f aca="false">IF(ISNUMBER(E44),D44*E44,0)</f>
        <v>538</v>
      </c>
      <c r="G44" s="3"/>
      <c r="H44" s="3" t="s">
        <v>21</v>
      </c>
      <c r="I44" s="3" t="s">
        <v>22</v>
      </c>
      <c r="J44" s="3" t="s">
        <v>23</v>
      </c>
      <c r="K44" s="3" t="n">
        <v>14</v>
      </c>
      <c r="L44" s="5" t="s">
        <v>196</v>
      </c>
      <c r="M44" s="3" t="s">
        <v>197</v>
      </c>
      <c r="N44" s="3" t="s">
        <v>198</v>
      </c>
      <c r="O44" s="3" t="s">
        <v>27</v>
      </c>
      <c r="P44" s="3" t="s">
        <v>47</v>
      </c>
      <c r="Q44" s="4" t="n">
        <v>0</v>
      </c>
      <c r="R44" s="4" t="n">
        <v>0</v>
      </c>
    </row>
    <row r="45" customFormat="false" ht="15" hidden="false" customHeight="true" outlineLevel="0" collapsed="false">
      <c r="A45" s="3" t="s">
        <v>188</v>
      </c>
      <c r="B45" s="3" t="s">
        <v>199</v>
      </c>
      <c r="C45" s="3" t="s">
        <v>200</v>
      </c>
      <c r="D45" s="3" t="n">
        <v>1</v>
      </c>
      <c r="E45" s="4" t="n">
        <v>299</v>
      </c>
      <c r="F45" s="4" t="n">
        <f aca="false">IF(ISNUMBER(E45),D45*E45,0)</f>
        <v>299</v>
      </c>
      <c r="G45" s="3"/>
      <c r="H45" s="3" t="s">
        <v>21</v>
      </c>
      <c r="I45" s="3" t="s">
        <v>22</v>
      </c>
      <c r="J45" s="3" t="s">
        <v>23</v>
      </c>
      <c r="K45" s="3" t="n">
        <v>4</v>
      </c>
      <c r="L45" s="5" t="s">
        <v>55</v>
      </c>
      <c r="M45" s="3"/>
      <c r="N45" s="3" t="s">
        <v>201</v>
      </c>
      <c r="O45" s="3" t="s">
        <v>27</v>
      </c>
      <c r="P45" s="3" t="s">
        <v>28</v>
      </c>
      <c r="Q45" s="4" t="n">
        <v>0</v>
      </c>
      <c r="R45" s="4" t="n">
        <v>0</v>
      </c>
    </row>
    <row r="46" customFormat="false" ht="15" hidden="false" customHeight="false" outlineLevel="0" collapsed="false">
      <c r="A46" s="8" t="s">
        <v>188</v>
      </c>
      <c r="B46" s="8" t="s">
        <v>202</v>
      </c>
      <c r="C46" s="8"/>
      <c r="D46" s="8"/>
      <c r="E46" s="8"/>
      <c r="F46" s="9" t="n">
        <f aca="false">SUM(F43:F45)</f>
        <v>1536</v>
      </c>
      <c r="G46" s="8"/>
      <c r="H46" s="8"/>
      <c r="I46" s="8"/>
      <c r="J46" s="8"/>
      <c r="K46" s="8" t="n">
        <f aca="false">MAX(K43:K45)</f>
        <v>14</v>
      </c>
      <c r="L46" s="8"/>
      <c r="M46" s="8"/>
      <c r="N46" s="8"/>
      <c r="O46" s="8"/>
      <c r="P46" s="8"/>
      <c r="Q46" s="9" t="n">
        <f aca="false">SUM(Q43:Q45)</f>
        <v>0</v>
      </c>
      <c r="R46" s="9" t="n">
        <f aca="false">SUM(R43:R45)</f>
        <v>0</v>
      </c>
    </row>
    <row r="47" customFormat="false" ht="122.25" hidden="false" customHeight="true" outlineLevel="0" collapsed="false"/>
    <row r="48" customFormat="false" ht="27.75" hidden="false" customHeight="true" outlineLevel="0" collapsed="false">
      <c r="A48" s="3" t="s">
        <v>203</v>
      </c>
      <c r="B48" s="3" t="s">
        <v>204</v>
      </c>
      <c r="C48" s="3" t="s">
        <v>205</v>
      </c>
      <c r="D48" s="3" t="n">
        <v>1</v>
      </c>
      <c r="E48" s="4" t="n">
        <v>944</v>
      </c>
      <c r="F48" s="4" t="n">
        <f aca="false">IF(ISNUMBER(E48),D48*E48,0)</f>
        <v>944</v>
      </c>
      <c r="G48" s="3"/>
      <c r="H48" s="3" t="s">
        <v>206</v>
      </c>
      <c r="I48" s="3" t="s">
        <v>207</v>
      </c>
      <c r="J48" s="3" t="s">
        <v>139</v>
      </c>
      <c r="K48" s="3" t="n">
        <v>7</v>
      </c>
      <c r="L48" s="5" t="s">
        <v>208</v>
      </c>
      <c r="M48" s="3" t="s">
        <v>209</v>
      </c>
      <c r="N48" s="3" t="s">
        <v>210</v>
      </c>
      <c r="O48" s="3" t="s">
        <v>27</v>
      </c>
      <c r="P48" s="3" t="s">
        <v>28</v>
      </c>
      <c r="Q48" s="4" t="n">
        <v>0</v>
      </c>
      <c r="R48" s="4" t="n">
        <v>0</v>
      </c>
    </row>
    <row r="49" customFormat="false" ht="54.75" hidden="false" customHeight="true" outlineLevel="0" collapsed="false">
      <c r="A49" s="3" t="s">
        <v>203</v>
      </c>
      <c r="B49" s="3" t="s">
        <v>211</v>
      </c>
      <c r="C49" s="3" t="s">
        <v>212</v>
      </c>
      <c r="D49" s="3" t="n">
        <v>2</v>
      </c>
      <c r="E49" s="4" t="n">
        <v>399</v>
      </c>
      <c r="F49" s="4" t="n">
        <f aca="false">IF(ISNUMBER(E49),D49*E49,0)</f>
        <v>798</v>
      </c>
      <c r="G49" s="3"/>
      <c r="H49" s="3" t="s">
        <v>21</v>
      </c>
      <c r="I49" s="3" t="s">
        <v>22</v>
      </c>
      <c r="J49" s="3" t="s">
        <v>23</v>
      </c>
      <c r="K49" s="3" t="n">
        <v>4</v>
      </c>
      <c r="L49" s="5" t="s">
        <v>213</v>
      </c>
      <c r="M49" s="3" t="s">
        <v>214</v>
      </c>
      <c r="N49" s="3" t="s">
        <v>215</v>
      </c>
      <c r="O49" s="3" t="s">
        <v>27</v>
      </c>
      <c r="P49" s="3" t="s">
        <v>28</v>
      </c>
      <c r="Q49" s="4" t="n">
        <v>0</v>
      </c>
      <c r="R49" s="4" t="n">
        <v>0</v>
      </c>
    </row>
    <row r="50" customFormat="false" ht="41.25" hidden="false" customHeight="true" outlineLevel="0" collapsed="false">
      <c r="A50" s="3" t="s">
        <v>203</v>
      </c>
      <c r="B50" s="3" t="s">
        <v>216</v>
      </c>
      <c r="C50" s="3" t="s">
        <v>217</v>
      </c>
      <c r="D50" s="3" t="n">
        <v>2</v>
      </c>
      <c r="E50" s="4" t="n">
        <v>2120.46</v>
      </c>
      <c r="F50" s="4" t="n">
        <f aca="false">IF(ISNUMBER(E50),D50*E50,0)</f>
        <v>4240.92</v>
      </c>
      <c r="G50" s="3"/>
      <c r="H50" s="3" t="s">
        <v>218</v>
      </c>
      <c r="I50" s="3" t="s">
        <v>219</v>
      </c>
      <c r="J50" s="3" t="s">
        <v>139</v>
      </c>
      <c r="K50" s="3" t="n">
        <v>3</v>
      </c>
      <c r="L50" s="5" t="s">
        <v>220</v>
      </c>
      <c r="M50" s="3" t="s">
        <v>221</v>
      </c>
      <c r="N50" s="3" t="s">
        <v>222</v>
      </c>
      <c r="O50" s="3" t="s">
        <v>27</v>
      </c>
      <c r="P50" s="3" t="s">
        <v>28</v>
      </c>
      <c r="Q50" s="4" t="n">
        <v>0</v>
      </c>
      <c r="R50" s="4" t="n">
        <v>0</v>
      </c>
    </row>
    <row r="51" customFormat="false" ht="41.25" hidden="false" customHeight="true" outlineLevel="0" collapsed="false">
      <c r="A51" s="3" t="s">
        <v>203</v>
      </c>
      <c r="B51" s="3" t="s">
        <v>223</v>
      </c>
      <c r="C51" s="3" t="s">
        <v>224</v>
      </c>
      <c r="D51" s="3" t="n">
        <v>1</v>
      </c>
      <c r="E51" s="4" t="n">
        <v>899</v>
      </c>
      <c r="F51" s="4" t="n">
        <f aca="false">IF(ISNUMBER(E51),D51*E51,0)</f>
        <v>899</v>
      </c>
      <c r="G51" s="3"/>
      <c r="H51" s="3" t="s">
        <v>21</v>
      </c>
      <c r="I51" s="3" t="s">
        <v>22</v>
      </c>
      <c r="J51" s="3" t="s">
        <v>23</v>
      </c>
      <c r="K51" s="3" t="n">
        <v>4</v>
      </c>
      <c r="L51" s="5" t="s">
        <v>225</v>
      </c>
      <c r="M51" s="3"/>
      <c r="N51" s="3" t="s">
        <v>226</v>
      </c>
      <c r="O51" s="3" t="s">
        <v>27</v>
      </c>
      <c r="P51" s="3" t="s">
        <v>28</v>
      </c>
      <c r="Q51" s="4" t="n">
        <v>0</v>
      </c>
      <c r="R51" s="4" t="n">
        <v>0</v>
      </c>
    </row>
    <row r="52" customFormat="false" ht="41.25" hidden="false" customHeight="true" outlineLevel="0" collapsed="false">
      <c r="A52" s="3" t="s">
        <v>203</v>
      </c>
      <c r="B52" s="3" t="s">
        <v>227</v>
      </c>
      <c r="C52" s="3" t="s">
        <v>228</v>
      </c>
      <c r="D52" s="3" t="n">
        <v>1</v>
      </c>
      <c r="E52" s="4" t="n">
        <v>1226.02</v>
      </c>
      <c r="F52" s="4" t="n">
        <f aca="false">IF(ISNUMBER(E52),D52*E52,0)</f>
        <v>1226.02</v>
      </c>
      <c r="G52" s="3"/>
      <c r="H52" s="3" t="s">
        <v>229</v>
      </c>
      <c r="I52" s="3" t="s">
        <v>230</v>
      </c>
      <c r="J52" s="3" t="s">
        <v>139</v>
      </c>
      <c r="K52" s="3" t="n">
        <v>3</v>
      </c>
      <c r="L52" s="5" t="s">
        <v>231</v>
      </c>
      <c r="M52" s="3" t="s">
        <v>232</v>
      </c>
      <c r="N52" s="3" t="s">
        <v>233</v>
      </c>
      <c r="O52" s="3" t="s">
        <v>46</v>
      </c>
      <c r="P52" s="3" t="s">
        <v>28</v>
      </c>
      <c r="Q52" s="4" t="n">
        <v>0</v>
      </c>
      <c r="R52" s="4" t="n">
        <v>0</v>
      </c>
    </row>
    <row r="53" customFormat="false" ht="41.25" hidden="false" customHeight="true" outlineLevel="0" collapsed="false">
      <c r="A53" s="3" t="s">
        <v>203</v>
      </c>
      <c r="B53" s="3" t="s">
        <v>234</v>
      </c>
      <c r="C53" s="3" t="s">
        <v>235</v>
      </c>
      <c r="D53" s="3" t="n">
        <v>1</v>
      </c>
      <c r="E53" s="4" t="n">
        <v>2124</v>
      </c>
      <c r="F53" s="4" t="n">
        <f aca="false">IF(ISNUMBER(E53),D53*E53,0)</f>
        <v>2124</v>
      </c>
      <c r="G53" s="3"/>
      <c r="H53" s="3" t="s">
        <v>236</v>
      </c>
      <c r="I53" s="3" t="s">
        <v>237</v>
      </c>
      <c r="J53" s="3" t="s">
        <v>139</v>
      </c>
      <c r="K53" s="3" t="n">
        <v>3</v>
      </c>
      <c r="L53" s="5" t="s">
        <v>238</v>
      </c>
      <c r="M53" s="3" t="s">
        <v>239</v>
      </c>
      <c r="N53" s="3" t="s">
        <v>240</v>
      </c>
      <c r="O53" s="3" t="s">
        <v>46</v>
      </c>
      <c r="P53" s="3" t="s">
        <v>28</v>
      </c>
      <c r="Q53" s="4" t="n">
        <v>0</v>
      </c>
      <c r="R53" s="4" t="n">
        <v>0</v>
      </c>
    </row>
    <row r="54" customFormat="false" ht="15" hidden="false" customHeight="true" outlineLevel="0" collapsed="false">
      <c r="A54" s="3" t="s">
        <v>203</v>
      </c>
      <c r="B54" s="3" t="s">
        <v>241</v>
      </c>
      <c r="C54" s="3" t="s">
        <v>242</v>
      </c>
      <c r="D54" s="3" t="n">
        <v>2</v>
      </c>
      <c r="E54" s="4" t="n">
        <v>236</v>
      </c>
      <c r="F54" s="4" t="n">
        <f aca="false">IF(ISNUMBER(E54),D54*E54,0)</f>
        <v>472</v>
      </c>
      <c r="G54" s="3"/>
      <c r="H54" s="3" t="s">
        <v>243</v>
      </c>
      <c r="I54" s="3" t="s">
        <v>244</v>
      </c>
      <c r="J54" s="3" t="s">
        <v>23</v>
      </c>
      <c r="K54" s="3" t="n">
        <v>5</v>
      </c>
      <c r="L54" s="5" t="s">
        <v>245</v>
      </c>
      <c r="M54" s="3" t="s">
        <v>246</v>
      </c>
      <c r="N54" s="3" t="s">
        <v>247</v>
      </c>
      <c r="O54" s="3" t="s">
        <v>46</v>
      </c>
      <c r="P54" s="3" t="s">
        <v>28</v>
      </c>
      <c r="Q54" s="4" t="n">
        <v>0</v>
      </c>
      <c r="R54" s="4" t="n">
        <v>0</v>
      </c>
    </row>
    <row r="55" customFormat="false" ht="41.75" hidden="false" customHeight="false" outlineLevel="0" collapsed="false">
      <c r="A55" s="3" t="s">
        <v>203</v>
      </c>
      <c r="B55" s="3" t="s">
        <v>248</v>
      </c>
      <c r="C55" s="3" t="s">
        <v>249</v>
      </c>
      <c r="D55" s="3" t="n">
        <v>1</v>
      </c>
      <c r="E55" s="6" t="s">
        <v>60</v>
      </c>
      <c r="F55" s="4" t="n">
        <f aca="false">IF(ISNUMBER(E55),D55*E55,0)</f>
        <v>0</v>
      </c>
      <c r="G55" s="7" t="s">
        <v>250</v>
      </c>
      <c r="H55" s="3" t="s">
        <v>251</v>
      </c>
      <c r="I55" s="3" t="s">
        <v>185</v>
      </c>
      <c r="J55" s="3" t="s">
        <v>139</v>
      </c>
      <c r="K55" s="3" t="n">
        <v>7</v>
      </c>
      <c r="L55" s="5"/>
      <c r="M55" s="3" t="s">
        <v>252</v>
      </c>
      <c r="N55" s="3" t="s">
        <v>253</v>
      </c>
      <c r="O55" s="7" t="s">
        <v>65</v>
      </c>
      <c r="P55" s="3" t="s">
        <v>28</v>
      </c>
      <c r="Q55" s="4" t="n">
        <v>1500</v>
      </c>
      <c r="R55" s="4" t="n">
        <v>3500</v>
      </c>
    </row>
    <row r="56" customFormat="false" ht="41.25" hidden="false" customHeight="true" outlineLevel="0" collapsed="false">
      <c r="A56" s="3" t="s">
        <v>203</v>
      </c>
      <c r="B56" s="3" t="s">
        <v>254</v>
      </c>
      <c r="C56" s="3" t="s">
        <v>255</v>
      </c>
      <c r="D56" s="3" t="n">
        <v>1</v>
      </c>
      <c r="E56" s="6" t="s">
        <v>60</v>
      </c>
      <c r="F56" s="4" t="n">
        <f aca="false">IF(ISNUMBER(E56),D56*E56,0)</f>
        <v>0</v>
      </c>
      <c r="G56" s="7" t="s">
        <v>256</v>
      </c>
      <c r="H56" s="3" t="s">
        <v>257</v>
      </c>
      <c r="I56" s="3" t="s">
        <v>185</v>
      </c>
      <c r="J56" s="3" t="s">
        <v>139</v>
      </c>
      <c r="K56" s="3" t="n">
        <v>3</v>
      </c>
      <c r="L56" s="5"/>
      <c r="M56" s="3"/>
      <c r="N56" s="3" t="s">
        <v>258</v>
      </c>
      <c r="O56" s="7" t="s">
        <v>65</v>
      </c>
      <c r="P56" s="3" t="s">
        <v>28</v>
      </c>
      <c r="Q56" s="4" t="n">
        <v>200</v>
      </c>
      <c r="R56" s="4" t="n">
        <v>600</v>
      </c>
    </row>
    <row r="57" customFormat="false" ht="27.75" hidden="false" customHeight="true" outlineLevel="0" collapsed="false">
      <c r="A57" s="8" t="s">
        <v>203</v>
      </c>
      <c r="B57" s="8" t="s">
        <v>259</v>
      </c>
      <c r="C57" s="8"/>
      <c r="D57" s="8"/>
      <c r="E57" s="8"/>
      <c r="F57" s="9" t="n">
        <f aca="false">SUM(F48:F56)</f>
        <v>10703.94</v>
      </c>
      <c r="G57" s="8"/>
      <c r="H57" s="8"/>
      <c r="I57" s="8"/>
      <c r="J57" s="8"/>
      <c r="K57" s="8" t="n">
        <f aca="false">MAX(K48:K56)</f>
        <v>7</v>
      </c>
      <c r="L57" s="8"/>
      <c r="M57" s="8"/>
      <c r="N57" s="8"/>
      <c r="O57" s="8"/>
      <c r="P57" s="8"/>
      <c r="Q57" s="9" t="n">
        <f aca="false">SUM(Q48:Q56)</f>
        <v>1700</v>
      </c>
      <c r="R57" s="9" t="n">
        <f aca="false">SUM(R48:R56)</f>
        <v>4100</v>
      </c>
    </row>
    <row r="58" customFormat="false" ht="41.25" hidden="false" customHeight="true" outlineLevel="0" collapsed="false"/>
    <row r="59" customFormat="false" ht="27.75" hidden="false" customHeight="true" outlineLevel="0" collapsed="false">
      <c r="A59" s="3" t="s">
        <v>260</v>
      </c>
      <c r="B59" s="3" t="s">
        <v>261</v>
      </c>
      <c r="C59" s="3" t="s">
        <v>262</v>
      </c>
      <c r="D59" s="3" t="n">
        <v>1</v>
      </c>
      <c r="E59" s="4" t="n">
        <v>2499</v>
      </c>
      <c r="F59" s="4" t="n">
        <f aca="false">IF(ISNUMBER(E59),D59*E59,0)</f>
        <v>2499</v>
      </c>
      <c r="G59" s="3"/>
      <c r="H59" s="3" t="s">
        <v>21</v>
      </c>
      <c r="I59" s="3" t="s">
        <v>22</v>
      </c>
      <c r="J59" s="3" t="s">
        <v>23</v>
      </c>
      <c r="K59" s="3" t="n">
        <v>4</v>
      </c>
      <c r="L59" s="5" t="s">
        <v>263</v>
      </c>
      <c r="M59" s="3" t="s">
        <v>264</v>
      </c>
      <c r="N59" s="3" t="s">
        <v>265</v>
      </c>
      <c r="O59" s="3" t="s">
        <v>27</v>
      </c>
      <c r="P59" s="3" t="s">
        <v>28</v>
      </c>
      <c r="Q59" s="4" t="n">
        <v>0</v>
      </c>
      <c r="R59" s="4" t="n">
        <v>0</v>
      </c>
    </row>
    <row r="60" customFormat="false" ht="27.75" hidden="false" customHeight="true" outlineLevel="0" collapsed="false">
      <c r="A60" s="3" t="s">
        <v>260</v>
      </c>
      <c r="B60" s="3" t="s">
        <v>266</v>
      </c>
      <c r="C60" s="3" t="s">
        <v>267</v>
      </c>
      <c r="D60" s="3" t="n">
        <v>1</v>
      </c>
      <c r="E60" s="4" t="n">
        <v>1499</v>
      </c>
      <c r="F60" s="4" t="n">
        <f aca="false">IF(ISNUMBER(E60),D60*E60,0)</f>
        <v>1499</v>
      </c>
      <c r="G60" s="3"/>
      <c r="H60" s="3" t="s">
        <v>21</v>
      </c>
      <c r="I60" s="3" t="s">
        <v>22</v>
      </c>
      <c r="J60" s="3" t="s">
        <v>23</v>
      </c>
      <c r="K60" s="3" t="n">
        <v>4</v>
      </c>
      <c r="L60" s="5" t="s">
        <v>268</v>
      </c>
      <c r="M60" s="3" t="s">
        <v>269</v>
      </c>
      <c r="N60" s="3" t="s">
        <v>270</v>
      </c>
      <c r="O60" s="3" t="s">
        <v>27</v>
      </c>
      <c r="P60" s="3" t="s">
        <v>28</v>
      </c>
      <c r="Q60" s="4" t="n">
        <v>0</v>
      </c>
      <c r="R60" s="4" t="n">
        <v>0</v>
      </c>
    </row>
    <row r="61" customFormat="false" ht="54.75" hidden="false" customHeight="true" outlineLevel="0" collapsed="false">
      <c r="A61" s="3" t="s">
        <v>260</v>
      </c>
      <c r="B61" s="3" t="s">
        <v>271</v>
      </c>
      <c r="C61" s="3" t="s">
        <v>272</v>
      </c>
      <c r="D61" s="3" t="n">
        <v>2</v>
      </c>
      <c r="E61" s="4" t="n">
        <v>161.66</v>
      </c>
      <c r="F61" s="4" t="n">
        <f aca="false">IF(ISNUMBER(E61),D61*E61,0)</f>
        <v>323.32</v>
      </c>
      <c r="G61" s="3"/>
      <c r="H61" s="3" t="s">
        <v>273</v>
      </c>
      <c r="I61" s="3" t="s">
        <v>274</v>
      </c>
      <c r="J61" s="3" t="s">
        <v>23</v>
      </c>
      <c r="K61" s="3" t="n">
        <v>6</v>
      </c>
      <c r="L61" s="5" t="s">
        <v>275</v>
      </c>
      <c r="M61" s="3" t="s">
        <v>276</v>
      </c>
      <c r="N61" s="3" t="s">
        <v>277</v>
      </c>
      <c r="O61" s="3" t="s">
        <v>27</v>
      </c>
      <c r="P61" s="3" t="s">
        <v>28</v>
      </c>
      <c r="Q61" s="4" t="n">
        <v>0</v>
      </c>
      <c r="R61" s="4" t="n">
        <v>0</v>
      </c>
    </row>
    <row r="62" customFormat="false" ht="27.75" hidden="false" customHeight="true" outlineLevel="0" collapsed="false">
      <c r="A62" s="3" t="s">
        <v>260</v>
      </c>
      <c r="B62" s="3" t="s">
        <v>278</v>
      </c>
      <c r="C62" s="3" t="s">
        <v>279</v>
      </c>
      <c r="D62" s="3" t="n">
        <v>1</v>
      </c>
      <c r="E62" s="6" t="s">
        <v>60</v>
      </c>
      <c r="F62" s="4" t="n">
        <f aca="false">IF(ISNUMBER(E62),D62*E62,0)</f>
        <v>0</v>
      </c>
      <c r="G62" s="7" t="s">
        <v>280</v>
      </c>
      <c r="H62" s="3" t="s">
        <v>21</v>
      </c>
      <c r="I62" s="3" t="s">
        <v>22</v>
      </c>
      <c r="J62" s="3" t="s">
        <v>23</v>
      </c>
      <c r="K62" s="3" t="n">
        <v>4</v>
      </c>
      <c r="L62" s="5" t="s">
        <v>281</v>
      </c>
      <c r="M62" s="3" t="s">
        <v>282</v>
      </c>
      <c r="N62" s="3" t="s">
        <v>283</v>
      </c>
      <c r="O62" s="7" t="s">
        <v>65</v>
      </c>
      <c r="P62" s="3" t="s">
        <v>47</v>
      </c>
      <c r="Q62" s="4" t="n">
        <v>300</v>
      </c>
      <c r="R62" s="4" t="n">
        <v>600</v>
      </c>
    </row>
    <row r="63" customFormat="false" ht="27.75" hidden="false" customHeight="true" outlineLevel="0" collapsed="false">
      <c r="A63" s="3" t="s">
        <v>260</v>
      </c>
      <c r="B63" s="3" t="s">
        <v>284</v>
      </c>
      <c r="C63" s="3" t="s">
        <v>285</v>
      </c>
      <c r="D63" s="3" t="n">
        <v>1</v>
      </c>
      <c r="E63" s="4" t="n">
        <v>295</v>
      </c>
      <c r="F63" s="4" t="n">
        <f aca="false">IF(ISNUMBER(E63),D63*E63,0)</f>
        <v>295</v>
      </c>
      <c r="G63" s="3"/>
      <c r="H63" s="3" t="s">
        <v>286</v>
      </c>
      <c r="I63" s="3" t="s">
        <v>230</v>
      </c>
      <c r="J63" s="3" t="s">
        <v>139</v>
      </c>
      <c r="K63" s="3" t="n">
        <v>3</v>
      </c>
      <c r="L63" s="5" t="s">
        <v>287</v>
      </c>
      <c r="M63" s="3" t="s">
        <v>288</v>
      </c>
      <c r="N63" s="3" t="s">
        <v>289</v>
      </c>
      <c r="O63" s="3" t="s">
        <v>27</v>
      </c>
      <c r="P63" s="3" t="s">
        <v>28</v>
      </c>
      <c r="Q63" s="4" t="n">
        <v>0</v>
      </c>
      <c r="R63" s="4" t="n">
        <v>0</v>
      </c>
    </row>
    <row r="64" customFormat="false" ht="27.75" hidden="false" customHeight="true" outlineLevel="0" collapsed="false">
      <c r="A64" s="3" t="s">
        <v>260</v>
      </c>
      <c r="B64" s="3" t="s">
        <v>290</v>
      </c>
      <c r="C64" s="3" t="s">
        <v>291</v>
      </c>
      <c r="D64" s="3" t="n">
        <v>1</v>
      </c>
      <c r="E64" s="4" t="n">
        <v>1298</v>
      </c>
      <c r="F64" s="4" t="n">
        <f aca="false">IF(ISNUMBER(E64),D64*E64,0)</f>
        <v>1298</v>
      </c>
      <c r="G64" s="3"/>
      <c r="H64" s="3" t="s">
        <v>292</v>
      </c>
      <c r="I64" s="3" t="s">
        <v>237</v>
      </c>
      <c r="J64" s="3" t="s">
        <v>139</v>
      </c>
      <c r="K64" s="3" t="n">
        <v>3</v>
      </c>
      <c r="L64" s="5" t="s">
        <v>293</v>
      </c>
      <c r="M64" s="3" t="s">
        <v>294</v>
      </c>
      <c r="N64" s="3" t="s">
        <v>295</v>
      </c>
      <c r="O64" s="3" t="s">
        <v>46</v>
      </c>
      <c r="P64" s="3" t="s">
        <v>28</v>
      </c>
      <c r="Q64" s="4" t="n">
        <v>0</v>
      </c>
      <c r="R64" s="4" t="n">
        <v>0</v>
      </c>
    </row>
    <row r="65" customFormat="false" ht="27.75" hidden="false" customHeight="true" outlineLevel="0" collapsed="false">
      <c r="A65" s="3" t="s">
        <v>260</v>
      </c>
      <c r="B65" s="3" t="s">
        <v>296</v>
      </c>
      <c r="C65" s="3" t="s">
        <v>297</v>
      </c>
      <c r="D65" s="3" t="n">
        <v>1</v>
      </c>
      <c r="E65" s="6" t="s">
        <v>60</v>
      </c>
      <c r="F65" s="4" t="n">
        <f aca="false">IF(ISNUMBER(E65),D65*E65,0)</f>
        <v>0</v>
      </c>
      <c r="G65" s="7" t="s">
        <v>298</v>
      </c>
      <c r="H65" s="3" t="s">
        <v>184</v>
      </c>
      <c r="I65" s="3" t="s">
        <v>185</v>
      </c>
      <c r="J65" s="3" t="s">
        <v>139</v>
      </c>
      <c r="K65" s="3" t="n">
        <v>3</v>
      </c>
      <c r="L65" s="5"/>
      <c r="M65" s="3"/>
      <c r="N65" s="3" t="s">
        <v>299</v>
      </c>
      <c r="O65" s="7" t="s">
        <v>65</v>
      </c>
      <c r="P65" s="3" t="s">
        <v>47</v>
      </c>
      <c r="Q65" s="4" t="n">
        <v>1500</v>
      </c>
      <c r="R65" s="4" t="n">
        <v>2800</v>
      </c>
    </row>
    <row r="66" customFormat="false" ht="41.25" hidden="false" customHeight="true" outlineLevel="0" collapsed="false">
      <c r="A66" s="3" t="s">
        <v>260</v>
      </c>
      <c r="B66" s="3" t="s">
        <v>300</v>
      </c>
      <c r="C66" s="3" t="s">
        <v>301</v>
      </c>
      <c r="D66" s="3" t="n">
        <v>6</v>
      </c>
      <c r="E66" s="4" t="n">
        <v>132</v>
      </c>
      <c r="F66" s="4" t="n">
        <f aca="false">IF(ISNUMBER(E66),D66*E66,0)</f>
        <v>792</v>
      </c>
      <c r="G66" s="3"/>
      <c r="H66" s="3" t="s">
        <v>21</v>
      </c>
      <c r="I66" s="3" t="s">
        <v>22</v>
      </c>
      <c r="J66" s="3" t="s">
        <v>23</v>
      </c>
      <c r="K66" s="3" t="n">
        <v>4</v>
      </c>
      <c r="L66" s="5" t="s">
        <v>302</v>
      </c>
      <c r="M66" s="3"/>
      <c r="N66" s="3" t="s">
        <v>303</v>
      </c>
      <c r="O66" s="3" t="s">
        <v>304</v>
      </c>
      <c r="P66" s="3" t="s">
        <v>47</v>
      </c>
      <c r="Q66" s="4" t="n">
        <v>0</v>
      </c>
      <c r="R66" s="4" t="n">
        <v>0</v>
      </c>
    </row>
    <row r="67" customFormat="false" ht="54.75" hidden="false" customHeight="true" outlineLevel="0" collapsed="false">
      <c r="A67" s="3" t="s">
        <v>260</v>
      </c>
      <c r="B67" s="3" t="s">
        <v>305</v>
      </c>
      <c r="C67" s="3" t="s">
        <v>306</v>
      </c>
      <c r="D67" s="3" t="n">
        <v>2</v>
      </c>
      <c r="E67" s="4" t="n">
        <v>180</v>
      </c>
      <c r="F67" s="4" t="n">
        <f aca="false">IF(ISNUMBER(E67),D67*E67,0)</f>
        <v>360</v>
      </c>
      <c r="G67" s="3"/>
      <c r="H67" s="3" t="s">
        <v>21</v>
      </c>
      <c r="I67" s="3" t="s">
        <v>22</v>
      </c>
      <c r="J67" s="3" t="s">
        <v>23</v>
      </c>
      <c r="K67" s="3" t="n">
        <v>4</v>
      </c>
      <c r="L67" s="5" t="s">
        <v>302</v>
      </c>
      <c r="M67" s="3"/>
      <c r="N67" s="3" t="s">
        <v>307</v>
      </c>
      <c r="O67" s="3" t="s">
        <v>304</v>
      </c>
      <c r="P67" s="3" t="s">
        <v>47</v>
      </c>
      <c r="Q67" s="4" t="n">
        <v>0</v>
      </c>
      <c r="R67" s="4" t="n">
        <v>0</v>
      </c>
    </row>
    <row r="68" customFormat="false" ht="27.75" hidden="false" customHeight="true" outlineLevel="0" collapsed="false">
      <c r="A68" s="3" t="s">
        <v>260</v>
      </c>
      <c r="B68" s="3" t="s">
        <v>308</v>
      </c>
      <c r="C68" s="3" t="s">
        <v>309</v>
      </c>
      <c r="D68" s="3" t="n">
        <v>1</v>
      </c>
      <c r="E68" s="6" t="s">
        <v>60</v>
      </c>
      <c r="F68" s="4" t="n">
        <f aca="false">IF(ISNUMBER(E68),D68*E68,0)</f>
        <v>0</v>
      </c>
      <c r="G68" s="7" t="s">
        <v>310</v>
      </c>
      <c r="H68" s="3" t="s">
        <v>184</v>
      </c>
      <c r="I68" s="3" t="s">
        <v>185</v>
      </c>
      <c r="J68" s="3" t="s">
        <v>139</v>
      </c>
      <c r="K68" s="3" t="n">
        <v>3</v>
      </c>
      <c r="L68" s="5"/>
      <c r="M68" s="3"/>
      <c r="N68" s="3" t="s">
        <v>299</v>
      </c>
      <c r="O68" s="7" t="s">
        <v>65</v>
      </c>
      <c r="P68" s="3" t="s">
        <v>47</v>
      </c>
      <c r="Q68" s="4" t="n">
        <v>400</v>
      </c>
      <c r="R68" s="4" t="n">
        <v>900</v>
      </c>
    </row>
    <row r="69" customFormat="false" ht="15" hidden="false" customHeight="true" outlineLevel="0" collapsed="false">
      <c r="A69" s="3" t="s">
        <v>260</v>
      </c>
      <c r="B69" s="3" t="s">
        <v>311</v>
      </c>
      <c r="C69" s="3" t="s">
        <v>312</v>
      </c>
      <c r="D69" s="3" t="n">
        <v>1</v>
      </c>
      <c r="E69" s="4" t="n">
        <v>1062</v>
      </c>
      <c r="F69" s="4" t="n">
        <f aca="false">IF(ISNUMBER(E69),D69*E69,0)</f>
        <v>1062</v>
      </c>
      <c r="G69" s="3"/>
      <c r="H69" s="3" t="s">
        <v>313</v>
      </c>
      <c r="I69" s="3" t="s">
        <v>314</v>
      </c>
      <c r="J69" s="3" t="s">
        <v>23</v>
      </c>
      <c r="K69" s="3" t="n">
        <v>5</v>
      </c>
      <c r="L69" s="5" t="s">
        <v>315</v>
      </c>
      <c r="M69" s="3" t="s">
        <v>316</v>
      </c>
      <c r="N69" s="3" t="s">
        <v>317</v>
      </c>
      <c r="O69" s="3" t="s">
        <v>46</v>
      </c>
      <c r="P69" s="3" t="s">
        <v>28</v>
      </c>
      <c r="Q69" s="4" t="n">
        <v>0</v>
      </c>
      <c r="R69" s="4" t="n">
        <v>0</v>
      </c>
    </row>
    <row r="70" customFormat="false" ht="41.75" hidden="false" customHeight="false" outlineLevel="0" collapsed="false">
      <c r="A70" s="3" t="s">
        <v>260</v>
      </c>
      <c r="B70" s="3" t="s">
        <v>318</v>
      </c>
      <c r="C70" s="3" t="s">
        <v>319</v>
      </c>
      <c r="D70" s="3" t="n">
        <v>2</v>
      </c>
      <c r="E70" s="6" t="s">
        <v>60</v>
      </c>
      <c r="F70" s="4" t="n">
        <f aca="false">IF(ISNUMBER(E70),D70*E70,0)</f>
        <v>0</v>
      </c>
      <c r="G70" s="7" t="s">
        <v>320</v>
      </c>
      <c r="H70" s="3" t="s">
        <v>321</v>
      </c>
      <c r="I70" s="3" t="s">
        <v>185</v>
      </c>
      <c r="J70" s="3" t="s">
        <v>139</v>
      </c>
      <c r="K70" s="3" t="n">
        <v>3</v>
      </c>
      <c r="L70" s="5"/>
      <c r="M70" s="3"/>
      <c r="N70" s="3" t="s">
        <v>322</v>
      </c>
      <c r="O70" s="7" t="s">
        <v>65</v>
      </c>
      <c r="P70" s="3" t="s">
        <v>28</v>
      </c>
      <c r="Q70" s="4" t="n">
        <v>150</v>
      </c>
      <c r="R70" s="4" t="n">
        <v>400</v>
      </c>
    </row>
    <row r="71" customFormat="false" ht="81.75" hidden="false" customHeight="true" outlineLevel="0" collapsed="false">
      <c r="A71" s="3" t="s">
        <v>260</v>
      </c>
      <c r="B71" s="3" t="s">
        <v>323</v>
      </c>
      <c r="C71" s="3" t="s">
        <v>324</v>
      </c>
      <c r="D71" s="3" t="n">
        <v>1</v>
      </c>
      <c r="E71" s="4" t="n">
        <v>295</v>
      </c>
      <c r="F71" s="4" t="n">
        <f aca="false">IF(ISNUMBER(E71),D71*E71,0)</f>
        <v>295</v>
      </c>
      <c r="G71" s="3"/>
      <c r="H71" s="3" t="s">
        <v>325</v>
      </c>
      <c r="I71" s="3" t="s">
        <v>230</v>
      </c>
      <c r="J71" s="3" t="s">
        <v>139</v>
      </c>
      <c r="K71" s="3" t="n">
        <v>3</v>
      </c>
      <c r="L71" s="5" t="s">
        <v>326</v>
      </c>
      <c r="M71" s="3" t="s">
        <v>327</v>
      </c>
      <c r="N71" s="3" t="s">
        <v>328</v>
      </c>
      <c r="O71" s="3" t="s">
        <v>27</v>
      </c>
      <c r="P71" s="3" t="s">
        <v>28</v>
      </c>
      <c r="Q71" s="4" t="n">
        <v>0</v>
      </c>
      <c r="R71" s="4" t="n">
        <v>0</v>
      </c>
    </row>
    <row r="72" customFormat="false" ht="41.25" hidden="false" customHeight="true" outlineLevel="0" collapsed="false">
      <c r="A72" s="8" t="s">
        <v>260</v>
      </c>
      <c r="B72" s="8" t="s">
        <v>329</v>
      </c>
      <c r="C72" s="8"/>
      <c r="D72" s="8"/>
      <c r="E72" s="8"/>
      <c r="F72" s="9" t="n">
        <f aca="false">SUM(F59:F71)</f>
        <v>8423.32</v>
      </c>
      <c r="G72" s="8"/>
      <c r="H72" s="8"/>
      <c r="I72" s="8"/>
      <c r="J72" s="8"/>
      <c r="K72" s="8" t="n">
        <f aca="false">MAX(K59:K71)</f>
        <v>6</v>
      </c>
      <c r="L72" s="8"/>
      <c r="M72" s="8"/>
      <c r="N72" s="8"/>
      <c r="O72" s="8"/>
      <c r="P72" s="8"/>
      <c r="Q72" s="9" t="n">
        <f aca="false">SUM(Q59:Q71)</f>
        <v>2350</v>
      </c>
      <c r="R72" s="9" t="n">
        <f aca="false">SUM(R59:R71)</f>
        <v>4700</v>
      </c>
    </row>
    <row r="73" customFormat="false" ht="27.75" hidden="false" customHeight="true" outlineLevel="0" collapsed="false"/>
    <row r="74" customFormat="false" ht="27.75" hidden="false" customHeight="true" outlineLevel="0" collapsed="false">
      <c r="A74" s="3" t="s">
        <v>330</v>
      </c>
      <c r="B74" s="3" t="s">
        <v>331</v>
      </c>
      <c r="C74" s="3" t="s">
        <v>332</v>
      </c>
      <c r="D74" s="3" t="n">
        <v>3</v>
      </c>
      <c r="E74" s="4" t="n">
        <v>2891</v>
      </c>
      <c r="F74" s="4" t="n">
        <f aca="false">IF(ISNUMBER(E74),D74*E74,0)</f>
        <v>8673</v>
      </c>
      <c r="G74" s="3"/>
      <c r="H74" s="3" t="s">
        <v>333</v>
      </c>
      <c r="I74" s="3" t="s">
        <v>334</v>
      </c>
      <c r="J74" s="3" t="s">
        <v>139</v>
      </c>
      <c r="K74" s="3" t="n">
        <v>5</v>
      </c>
      <c r="L74" s="5" t="s">
        <v>335</v>
      </c>
      <c r="M74" s="3" t="s">
        <v>336</v>
      </c>
      <c r="N74" s="3" t="s">
        <v>337</v>
      </c>
      <c r="O74" s="3" t="s">
        <v>46</v>
      </c>
      <c r="P74" s="3" t="s">
        <v>28</v>
      </c>
      <c r="Q74" s="4" t="n">
        <v>0</v>
      </c>
      <c r="R74" s="4" t="n">
        <v>0</v>
      </c>
    </row>
    <row r="75" customFormat="false" ht="27.75" hidden="false" customHeight="true" outlineLevel="0" collapsed="false">
      <c r="A75" s="3" t="s">
        <v>330</v>
      </c>
      <c r="B75" s="3" t="s">
        <v>338</v>
      </c>
      <c r="C75" s="3" t="s">
        <v>339</v>
      </c>
      <c r="D75" s="3" t="n">
        <v>1</v>
      </c>
      <c r="E75" s="4" t="n">
        <v>672.6</v>
      </c>
      <c r="F75" s="4" t="n">
        <f aca="false">IF(ISNUMBER(E75),D75*E75,0)</f>
        <v>672.6</v>
      </c>
      <c r="G75" s="3"/>
      <c r="H75" s="3" t="s">
        <v>333</v>
      </c>
      <c r="I75" s="3" t="s">
        <v>334</v>
      </c>
      <c r="J75" s="3" t="s">
        <v>139</v>
      </c>
      <c r="K75" s="3" t="n">
        <v>5</v>
      </c>
      <c r="L75" s="5" t="s">
        <v>335</v>
      </c>
      <c r="M75" s="3" t="s">
        <v>340</v>
      </c>
      <c r="N75" s="3" t="s">
        <v>341</v>
      </c>
      <c r="O75" s="3" t="s">
        <v>46</v>
      </c>
      <c r="P75" s="3" t="s">
        <v>28</v>
      </c>
      <c r="Q75" s="4" t="n">
        <v>0</v>
      </c>
      <c r="R75" s="4" t="n">
        <v>0</v>
      </c>
    </row>
    <row r="76" customFormat="false" ht="27.75" hidden="false" customHeight="true" outlineLevel="0" collapsed="false">
      <c r="A76" s="3" t="s">
        <v>330</v>
      </c>
      <c r="B76" s="3" t="s">
        <v>342</v>
      </c>
      <c r="C76" s="3" t="s">
        <v>343</v>
      </c>
      <c r="D76" s="3" t="n">
        <v>2</v>
      </c>
      <c r="E76" s="4" t="n">
        <v>538</v>
      </c>
      <c r="F76" s="4" t="n">
        <f aca="false">IF(ISNUMBER(E76),D76*E76,0)</f>
        <v>1076</v>
      </c>
      <c r="G76" s="3"/>
      <c r="H76" s="3" t="s">
        <v>41</v>
      </c>
      <c r="I76" s="3" t="s">
        <v>42</v>
      </c>
      <c r="J76" s="3" t="s">
        <v>23</v>
      </c>
      <c r="K76" s="3" t="n">
        <v>14</v>
      </c>
      <c r="L76" s="5" t="s">
        <v>344</v>
      </c>
      <c r="M76" s="3" t="s">
        <v>345</v>
      </c>
      <c r="N76" s="3" t="s">
        <v>346</v>
      </c>
      <c r="O76" s="3" t="s">
        <v>27</v>
      </c>
      <c r="P76" s="3" t="s">
        <v>28</v>
      </c>
      <c r="Q76" s="4" t="n">
        <v>0</v>
      </c>
      <c r="R76" s="4" t="n">
        <v>0</v>
      </c>
    </row>
    <row r="77" customFormat="false" ht="54.75" hidden="false" customHeight="true" outlineLevel="0" collapsed="false">
      <c r="A77" s="3" t="s">
        <v>330</v>
      </c>
      <c r="B77" s="3" t="s">
        <v>347</v>
      </c>
      <c r="C77" s="3" t="s">
        <v>348</v>
      </c>
      <c r="D77" s="3" t="n">
        <v>8</v>
      </c>
      <c r="E77" s="4" t="n">
        <v>41.3</v>
      </c>
      <c r="F77" s="4" t="n">
        <f aca="false">IF(ISNUMBER(E77),D77*E77,0)</f>
        <v>330.4</v>
      </c>
      <c r="G77" s="3"/>
      <c r="H77" s="3" t="s">
        <v>333</v>
      </c>
      <c r="I77" s="3" t="s">
        <v>349</v>
      </c>
      <c r="J77" s="3" t="s">
        <v>139</v>
      </c>
      <c r="K77" s="3" t="n">
        <v>5</v>
      </c>
      <c r="L77" s="5" t="s">
        <v>350</v>
      </c>
      <c r="M77" s="3"/>
      <c r="N77" s="3" t="s">
        <v>351</v>
      </c>
      <c r="O77" s="3" t="s">
        <v>46</v>
      </c>
      <c r="P77" s="3" t="s">
        <v>47</v>
      </c>
      <c r="Q77" s="4" t="n">
        <v>0</v>
      </c>
      <c r="R77" s="4" t="n">
        <v>0</v>
      </c>
    </row>
    <row r="78" customFormat="false" ht="27.75" hidden="false" customHeight="true" outlineLevel="0" collapsed="false">
      <c r="A78" s="3" t="s">
        <v>330</v>
      </c>
      <c r="B78" s="3" t="s">
        <v>352</v>
      </c>
      <c r="C78" s="3" t="s">
        <v>353</v>
      </c>
      <c r="D78" s="3" t="n">
        <v>6</v>
      </c>
      <c r="E78" s="4" t="n">
        <v>35.4</v>
      </c>
      <c r="F78" s="4" t="n">
        <f aca="false">IF(ISNUMBER(E78),D78*E78,0)</f>
        <v>212.4</v>
      </c>
      <c r="G78" s="3"/>
      <c r="H78" s="3" t="s">
        <v>333</v>
      </c>
      <c r="I78" s="3" t="s">
        <v>349</v>
      </c>
      <c r="J78" s="3" t="s">
        <v>139</v>
      </c>
      <c r="K78" s="3" t="n">
        <v>5</v>
      </c>
      <c r="L78" s="5" t="s">
        <v>350</v>
      </c>
      <c r="M78" s="3"/>
      <c r="N78" s="3" t="s">
        <v>354</v>
      </c>
      <c r="O78" s="3" t="s">
        <v>46</v>
      </c>
      <c r="P78" s="3" t="s">
        <v>47</v>
      </c>
      <c r="Q78" s="4" t="n">
        <v>0</v>
      </c>
      <c r="R78" s="4" t="n">
        <v>0</v>
      </c>
    </row>
    <row r="79" customFormat="false" ht="41.25" hidden="false" customHeight="true" outlineLevel="0" collapsed="false">
      <c r="A79" s="3" t="s">
        <v>330</v>
      </c>
      <c r="B79" s="3" t="s">
        <v>355</v>
      </c>
      <c r="C79" s="3" t="s">
        <v>356</v>
      </c>
      <c r="D79" s="3" t="n">
        <v>30</v>
      </c>
      <c r="E79" s="4" t="n">
        <v>21.24</v>
      </c>
      <c r="F79" s="4" t="n">
        <f aca="false">IF(ISNUMBER(E79),D79*E79,0)</f>
        <v>637.2</v>
      </c>
      <c r="G79" s="3"/>
      <c r="H79" s="3" t="s">
        <v>333</v>
      </c>
      <c r="I79" s="3" t="s">
        <v>349</v>
      </c>
      <c r="J79" s="3" t="s">
        <v>139</v>
      </c>
      <c r="K79" s="3" t="n">
        <v>5</v>
      </c>
      <c r="L79" s="5" t="s">
        <v>350</v>
      </c>
      <c r="M79" s="3"/>
      <c r="N79" s="3" t="s">
        <v>357</v>
      </c>
      <c r="O79" s="3" t="s">
        <v>46</v>
      </c>
      <c r="P79" s="3" t="s">
        <v>47</v>
      </c>
      <c r="Q79" s="4" t="n">
        <v>0</v>
      </c>
      <c r="R79" s="4" t="n">
        <v>0</v>
      </c>
    </row>
    <row r="80" customFormat="false" ht="81.75" hidden="false" customHeight="true" outlineLevel="0" collapsed="false">
      <c r="A80" s="3" t="s">
        <v>330</v>
      </c>
      <c r="B80" s="3" t="s">
        <v>358</v>
      </c>
      <c r="C80" s="3" t="s">
        <v>359</v>
      </c>
      <c r="D80" s="3" t="n">
        <v>1</v>
      </c>
      <c r="E80" s="6" t="s">
        <v>60</v>
      </c>
      <c r="F80" s="4" t="n">
        <f aca="false">IF(ISNUMBER(E80),D80*E80,0)</f>
        <v>0</v>
      </c>
      <c r="G80" s="7" t="s">
        <v>360</v>
      </c>
      <c r="H80" s="3" t="s">
        <v>361</v>
      </c>
      <c r="I80" s="3" t="s">
        <v>362</v>
      </c>
      <c r="J80" s="3" t="s">
        <v>139</v>
      </c>
      <c r="K80" s="3" t="n">
        <v>7</v>
      </c>
      <c r="L80" s="5" t="s">
        <v>363</v>
      </c>
      <c r="M80" s="3" t="s">
        <v>364</v>
      </c>
      <c r="N80" s="3" t="s">
        <v>365</v>
      </c>
      <c r="O80" s="7" t="s">
        <v>65</v>
      </c>
      <c r="P80" s="3" t="s">
        <v>47</v>
      </c>
      <c r="Q80" s="4" t="n">
        <v>1200</v>
      </c>
      <c r="R80" s="4" t="n">
        <v>2500</v>
      </c>
    </row>
    <row r="81" customFormat="false" ht="54.75" hidden="false" customHeight="true" outlineLevel="0" collapsed="false">
      <c r="A81" s="3" t="s">
        <v>330</v>
      </c>
      <c r="B81" s="3" t="s">
        <v>366</v>
      </c>
      <c r="C81" s="3" t="s">
        <v>367</v>
      </c>
      <c r="D81" s="3" t="n">
        <v>1</v>
      </c>
      <c r="E81" s="6" t="s">
        <v>60</v>
      </c>
      <c r="F81" s="4" t="n">
        <f aca="false">IF(ISNUMBER(E81),D81*E81,0)</f>
        <v>0</v>
      </c>
      <c r="G81" s="7" t="s">
        <v>310</v>
      </c>
      <c r="H81" s="3" t="s">
        <v>361</v>
      </c>
      <c r="I81" s="3" t="s">
        <v>362</v>
      </c>
      <c r="J81" s="3" t="s">
        <v>139</v>
      </c>
      <c r="K81" s="3" t="n">
        <v>7</v>
      </c>
      <c r="L81" s="5" t="s">
        <v>363</v>
      </c>
      <c r="M81" s="3"/>
      <c r="N81" s="3" t="s">
        <v>368</v>
      </c>
      <c r="O81" s="7" t="s">
        <v>65</v>
      </c>
      <c r="P81" s="3" t="s">
        <v>47</v>
      </c>
      <c r="Q81" s="4" t="n">
        <v>400</v>
      </c>
      <c r="R81" s="4" t="n">
        <v>900</v>
      </c>
    </row>
    <row r="82" customFormat="false" ht="27.75" hidden="false" customHeight="true" outlineLevel="0" collapsed="false">
      <c r="A82" s="3" t="s">
        <v>330</v>
      </c>
      <c r="B82" s="3" t="s">
        <v>369</v>
      </c>
      <c r="C82" s="3" t="s">
        <v>370</v>
      </c>
      <c r="D82" s="3" t="n">
        <v>2.6</v>
      </c>
      <c r="E82" s="4" t="n">
        <v>318.6</v>
      </c>
      <c r="F82" s="4" t="n">
        <f aca="false">IF(ISNUMBER(E82),D82*E82,0)</f>
        <v>828.36</v>
      </c>
      <c r="G82" s="3"/>
      <c r="H82" s="3" t="s">
        <v>371</v>
      </c>
      <c r="I82" s="3" t="s">
        <v>230</v>
      </c>
      <c r="J82" s="3" t="s">
        <v>139</v>
      </c>
      <c r="K82" s="3" t="n">
        <v>3</v>
      </c>
      <c r="L82" s="5" t="s">
        <v>372</v>
      </c>
      <c r="M82" s="3" t="s">
        <v>373</v>
      </c>
      <c r="N82" s="3" t="s">
        <v>374</v>
      </c>
      <c r="O82" s="3" t="s">
        <v>46</v>
      </c>
      <c r="P82" s="3" t="s">
        <v>28</v>
      </c>
      <c r="Q82" s="4" t="n">
        <v>0</v>
      </c>
      <c r="R82" s="4" t="n">
        <v>0</v>
      </c>
    </row>
    <row r="83" customFormat="false" ht="27.75" hidden="false" customHeight="true" outlineLevel="0" collapsed="false">
      <c r="A83" s="3" t="s">
        <v>330</v>
      </c>
      <c r="B83" s="3" t="s">
        <v>375</v>
      </c>
      <c r="C83" s="3" t="s">
        <v>376</v>
      </c>
      <c r="D83" s="3" t="n">
        <v>1</v>
      </c>
      <c r="E83" s="4" t="n">
        <v>1834.9</v>
      </c>
      <c r="F83" s="4" t="n">
        <f aca="false">IF(ISNUMBER(E83),D83*E83,0)</f>
        <v>1834.9</v>
      </c>
      <c r="G83" s="3"/>
      <c r="H83" s="3" t="s">
        <v>377</v>
      </c>
      <c r="I83" s="3" t="s">
        <v>230</v>
      </c>
      <c r="J83" s="3" t="s">
        <v>139</v>
      </c>
      <c r="K83" s="3" t="n">
        <v>3</v>
      </c>
      <c r="L83" s="5" t="s">
        <v>378</v>
      </c>
      <c r="M83" s="3" t="s">
        <v>379</v>
      </c>
      <c r="N83" s="3" t="s">
        <v>380</v>
      </c>
      <c r="O83" s="3" t="s">
        <v>46</v>
      </c>
      <c r="P83" s="3" t="s">
        <v>28</v>
      </c>
      <c r="Q83" s="4" t="n">
        <v>0</v>
      </c>
      <c r="R83" s="4" t="n">
        <v>0</v>
      </c>
    </row>
    <row r="84" customFormat="false" ht="27.75" hidden="false" customHeight="true" outlineLevel="0" collapsed="false">
      <c r="A84" s="3" t="s">
        <v>330</v>
      </c>
      <c r="B84" s="3" t="s">
        <v>381</v>
      </c>
      <c r="C84" s="3" t="s">
        <v>382</v>
      </c>
      <c r="D84" s="3" t="n">
        <v>2</v>
      </c>
      <c r="E84" s="4" t="n">
        <v>902</v>
      </c>
      <c r="F84" s="4" t="n">
        <f aca="false">IF(ISNUMBER(E84),D84*E84,0)</f>
        <v>1804</v>
      </c>
      <c r="G84" s="3"/>
      <c r="H84" s="3" t="s">
        <v>41</v>
      </c>
      <c r="I84" s="3" t="s">
        <v>42</v>
      </c>
      <c r="J84" s="3" t="s">
        <v>23</v>
      </c>
      <c r="K84" s="3" t="n">
        <v>4</v>
      </c>
      <c r="L84" s="5" t="s">
        <v>383</v>
      </c>
      <c r="M84" s="3" t="s">
        <v>384</v>
      </c>
      <c r="N84" s="3" t="s">
        <v>385</v>
      </c>
      <c r="O84" s="3" t="s">
        <v>46</v>
      </c>
      <c r="P84" s="3" t="s">
        <v>47</v>
      </c>
      <c r="Q84" s="4" t="n">
        <v>0</v>
      </c>
      <c r="R84" s="4" t="n">
        <v>0</v>
      </c>
    </row>
    <row r="85" customFormat="false" ht="41.25" hidden="false" customHeight="true" outlineLevel="0" collapsed="false">
      <c r="A85" s="3" t="s">
        <v>330</v>
      </c>
      <c r="B85" s="3" t="s">
        <v>386</v>
      </c>
      <c r="C85" s="3" t="s">
        <v>387</v>
      </c>
      <c r="D85" s="3" t="n">
        <v>50</v>
      </c>
      <c r="E85" s="4" t="n">
        <v>3</v>
      </c>
      <c r="F85" s="4" t="n">
        <f aca="false">IF(ISNUMBER(E85),D85*E85,0)</f>
        <v>150</v>
      </c>
      <c r="G85" s="3"/>
      <c r="H85" s="3" t="s">
        <v>21</v>
      </c>
      <c r="I85" s="3" t="s">
        <v>22</v>
      </c>
      <c r="J85" s="3" t="s">
        <v>23</v>
      </c>
      <c r="K85" s="3" t="n">
        <v>4</v>
      </c>
      <c r="L85" s="5" t="s">
        <v>388</v>
      </c>
      <c r="M85" s="3"/>
      <c r="N85" s="3" t="s">
        <v>389</v>
      </c>
      <c r="O85" s="3" t="s">
        <v>46</v>
      </c>
      <c r="P85" s="3" t="s">
        <v>47</v>
      </c>
      <c r="Q85" s="4" t="n">
        <v>0</v>
      </c>
      <c r="R85" s="4" t="n">
        <v>0</v>
      </c>
    </row>
    <row r="86" customFormat="false" ht="41.25" hidden="false" customHeight="true" outlineLevel="0" collapsed="false">
      <c r="A86" s="3" t="s">
        <v>330</v>
      </c>
      <c r="B86" s="3" t="s">
        <v>390</v>
      </c>
      <c r="C86" s="3" t="s">
        <v>391</v>
      </c>
      <c r="D86" s="3" t="n">
        <v>1</v>
      </c>
      <c r="E86" s="6" t="s">
        <v>60</v>
      </c>
      <c r="F86" s="4" t="n">
        <f aca="false">IF(ISNUMBER(E86),D86*E86,0)</f>
        <v>0</v>
      </c>
      <c r="G86" s="7" t="s">
        <v>392</v>
      </c>
      <c r="H86" s="3" t="s">
        <v>393</v>
      </c>
      <c r="I86" s="3" t="s">
        <v>185</v>
      </c>
      <c r="J86" s="3" t="s">
        <v>139</v>
      </c>
      <c r="K86" s="3" t="n">
        <v>2</v>
      </c>
      <c r="L86" s="5"/>
      <c r="M86" s="3"/>
      <c r="N86" s="3" t="s">
        <v>299</v>
      </c>
      <c r="O86" s="7" t="s">
        <v>65</v>
      </c>
      <c r="P86" s="3" t="s">
        <v>47</v>
      </c>
      <c r="Q86" s="4" t="n">
        <v>800</v>
      </c>
      <c r="R86" s="4" t="n">
        <v>1600</v>
      </c>
    </row>
    <row r="87" customFormat="false" ht="27.75" hidden="false" customHeight="true" outlineLevel="0" collapsed="false">
      <c r="A87" s="3" t="s">
        <v>330</v>
      </c>
      <c r="B87" s="3" t="s">
        <v>394</v>
      </c>
      <c r="C87" s="3" t="s">
        <v>395</v>
      </c>
      <c r="D87" s="3" t="n">
        <v>1</v>
      </c>
      <c r="E87" s="6" t="s">
        <v>60</v>
      </c>
      <c r="F87" s="4" t="n">
        <f aca="false">IF(ISNUMBER(E87),D87*E87,0)</f>
        <v>0</v>
      </c>
      <c r="G87" s="7" t="s">
        <v>396</v>
      </c>
      <c r="H87" s="3" t="s">
        <v>397</v>
      </c>
      <c r="I87" s="3" t="s">
        <v>185</v>
      </c>
      <c r="J87" s="3" t="s">
        <v>139</v>
      </c>
      <c r="K87" s="3" t="n">
        <v>5</v>
      </c>
      <c r="L87" s="5"/>
      <c r="M87" s="3"/>
      <c r="N87" s="3" t="s">
        <v>398</v>
      </c>
      <c r="O87" s="7" t="s">
        <v>65</v>
      </c>
      <c r="P87" s="3" t="s">
        <v>47</v>
      </c>
      <c r="Q87" s="4" t="n">
        <v>300</v>
      </c>
      <c r="R87" s="4" t="n">
        <v>700</v>
      </c>
    </row>
    <row r="88" customFormat="false" ht="27.75" hidden="false" customHeight="true" outlineLevel="0" collapsed="false">
      <c r="A88" s="3" t="s">
        <v>330</v>
      </c>
      <c r="B88" s="3" t="s">
        <v>399</v>
      </c>
      <c r="C88" s="3" t="s">
        <v>400</v>
      </c>
      <c r="D88" s="3" t="n">
        <v>1</v>
      </c>
      <c r="E88" s="6" t="s">
        <v>60</v>
      </c>
      <c r="F88" s="4" t="n">
        <f aca="false">IF(ISNUMBER(E88),D88*E88,0)</f>
        <v>0</v>
      </c>
      <c r="G88" s="7" t="s">
        <v>401</v>
      </c>
      <c r="H88" s="3" t="s">
        <v>361</v>
      </c>
      <c r="I88" s="3" t="s">
        <v>362</v>
      </c>
      <c r="J88" s="3" t="s">
        <v>139</v>
      </c>
      <c r="K88" s="3" t="n">
        <v>7</v>
      </c>
      <c r="L88" s="5"/>
      <c r="M88" s="3"/>
      <c r="N88" s="3" t="s">
        <v>402</v>
      </c>
      <c r="O88" s="7" t="s">
        <v>65</v>
      </c>
      <c r="P88" s="3" t="s">
        <v>28</v>
      </c>
      <c r="Q88" s="4" t="n">
        <v>5000</v>
      </c>
      <c r="R88" s="4" t="n">
        <v>9000</v>
      </c>
    </row>
    <row r="89" customFormat="false" ht="15" hidden="false" customHeight="true" outlineLevel="0" collapsed="false">
      <c r="A89" s="3" t="s">
        <v>330</v>
      </c>
      <c r="B89" s="3" t="s">
        <v>403</v>
      </c>
      <c r="C89" s="3" t="s">
        <v>404</v>
      </c>
      <c r="D89" s="3" t="n">
        <v>1</v>
      </c>
      <c r="E89" s="6" t="s">
        <v>60</v>
      </c>
      <c r="F89" s="4" t="n">
        <f aca="false">IF(ISNUMBER(E89),D89*E89,0)</f>
        <v>0</v>
      </c>
      <c r="G89" s="7" t="s">
        <v>405</v>
      </c>
      <c r="H89" s="3" t="s">
        <v>406</v>
      </c>
      <c r="I89" s="3" t="s">
        <v>407</v>
      </c>
      <c r="J89" s="3" t="s">
        <v>139</v>
      </c>
      <c r="K89" s="3" t="n">
        <v>7</v>
      </c>
      <c r="L89" s="5"/>
      <c r="M89" s="3"/>
      <c r="N89" s="3" t="s">
        <v>408</v>
      </c>
      <c r="O89" s="7" t="s">
        <v>65</v>
      </c>
      <c r="P89" s="3" t="s">
        <v>28</v>
      </c>
      <c r="Q89" s="4" t="n">
        <v>2000</v>
      </c>
      <c r="R89" s="4" t="n">
        <v>4500</v>
      </c>
    </row>
    <row r="90" customFormat="false" ht="28.35" hidden="false" customHeight="false" outlineLevel="0" collapsed="false">
      <c r="A90" s="3" t="s">
        <v>330</v>
      </c>
      <c r="B90" s="3" t="s">
        <v>409</v>
      </c>
      <c r="C90" s="3" t="s">
        <v>410</v>
      </c>
      <c r="D90" s="3" t="n">
        <v>1</v>
      </c>
      <c r="E90" s="6" t="s">
        <v>60</v>
      </c>
      <c r="F90" s="4" t="n">
        <f aca="false">IF(ISNUMBER(E90),D90*E90,0)</f>
        <v>0</v>
      </c>
      <c r="G90" s="7" t="s">
        <v>310</v>
      </c>
      <c r="H90" s="3" t="s">
        <v>411</v>
      </c>
      <c r="I90" s="3" t="s">
        <v>185</v>
      </c>
      <c r="J90" s="3" t="s">
        <v>139</v>
      </c>
      <c r="K90" s="3" t="n">
        <v>3</v>
      </c>
      <c r="L90" s="5"/>
      <c r="M90" s="3"/>
      <c r="N90" s="3" t="s">
        <v>412</v>
      </c>
      <c r="O90" s="7" t="s">
        <v>65</v>
      </c>
      <c r="P90" s="3" t="s">
        <v>28</v>
      </c>
      <c r="Q90" s="4" t="n">
        <v>400</v>
      </c>
      <c r="R90" s="4" t="n">
        <v>900</v>
      </c>
    </row>
    <row r="91" customFormat="false" ht="15" hidden="false" customHeight="true" outlineLevel="0" collapsed="false">
      <c r="A91" s="3" t="s">
        <v>330</v>
      </c>
      <c r="B91" s="3" t="s">
        <v>413</v>
      </c>
      <c r="C91" s="3" t="s">
        <v>414</v>
      </c>
      <c r="D91" s="3" t="n">
        <v>4</v>
      </c>
      <c r="E91" s="4" t="n">
        <v>53.1</v>
      </c>
      <c r="F91" s="4" t="n">
        <f aca="false">IF(ISNUMBER(E91),D91*E91,0)</f>
        <v>212.4</v>
      </c>
      <c r="G91" s="3"/>
      <c r="H91" s="3" t="s">
        <v>415</v>
      </c>
      <c r="I91" s="3" t="s">
        <v>237</v>
      </c>
      <c r="J91" s="3" t="s">
        <v>139</v>
      </c>
      <c r="K91" s="3" t="n">
        <v>3</v>
      </c>
      <c r="L91" s="5" t="s">
        <v>416</v>
      </c>
      <c r="M91" s="3" t="s">
        <v>417</v>
      </c>
      <c r="N91" s="3" t="s">
        <v>418</v>
      </c>
      <c r="O91" s="3" t="s">
        <v>46</v>
      </c>
      <c r="P91" s="3" t="s">
        <v>28</v>
      </c>
      <c r="Q91" s="4" t="n">
        <v>0</v>
      </c>
      <c r="R91" s="4" t="n">
        <v>0</v>
      </c>
    </row>
    <row r="92" customFormat="false" ht="15" hidden="false" customHeight="true" outlineLevel="0" collapsed="false">
      <c r="A92" s="8" t="s">
        <v>330</v>
      </c>
      <c r="B92" s="8" t="s">
        <v>419</v>
      </c>
      <c r="C92" s="8"/>
      <c r="D92" s="8"/>
      <c r="E92" s="8"/>
      <c r="F92" s="9" t="n">
        <f aca="false">SUM(F74:F91)</f>
        <v>16431.26</v>
      </c>
      <c r="G92" s="8"/>
      <c r="H92" s="8"/>
      <c r="I92" s="8"/>
      <c r="J92" s="8"/>
      <c r="K92" s="8" t="n">
        <f aca="false">MAX(K74:K91)</f>
        <v>14</v>
      </c>
      <c r="L92" s="8"/>
      <c r="M92" s="8"/>
      <c r="N92" s="8"/>
      <c r="O92" s="8"/>
      <c r="P92" s="8"/>
      <c r="Q92" s="9" t="n">
        <f aca="false">SUM(Q74:Q91)</f>
        <v>10100</v>
      </c>
      <c r="R92" s="9" t="n">
        <f aca="false">SUM(R74:R91)</f>
        <v>20100</v>
      </c>
    </row>
    <row r="93" customFormat="false" ht="15" hidden="false" customHeight="true" outlineLevel="0" collapsed="false"/>
    <row r="94" customFormat="false" ht="15" hidden="false" customHeight="true" outlineLevel="0" collapsed="false">
      <c r="A94" s="10"/>
      <c r="B94" s="10" t="s">
        <v>420</v>
      </c>
      <c r="C94" s="10"/>
      <c r="D94" s="10"/>
      <c r="E94" s="10"/>
      <c r="F94" s="11" t="n">
        <f aca="false">SUM(F10,F25,F29,F32,F35,F41,F46,F57,F72,F92)</f>
        <v>124832.66</v>
      </c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</row>
    <row r="95" customFormat="false" ht="15" hidden="false" customHeight="true" outlineLevel="0" collapsed="false">
      <c r="A95" s="10"/>
      <c r="B95" s="10" t="s">
        <v>421</v>
      </c>
      <c r="C95" s="10"/>
      <c r="D95" s="10"/>
      <c r="E95" s="10"/>
      <c r="F95" s="11" t="n">
        <f aca="false">SUM(Q10,Q25,Q29,Q32,Q35,Q41,Q46,Q57,Q72,Q92)</f>
        <v>23349</v>
      </c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</row>
    <row r="96" customFormat="false" ht="15" hidden="false" customHeight="true" outlineLevel="0" collapsed="false">
      <c r="A96" s="10"/>
      <c r="B96" s="10" t="s">
        <v>422</v>
      </c>
      <c r="C96" s="10"/>
      <c r="D96" s="10"/>
      <c r="E96" s="10"/>
      <c r="F96" s="11" t="n">
        <f aca="false">SUM(R10,R25,R29,R32,R35,R41,R46,R57,R72,R92)</f>
        <v>42299</v>
      </c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</row>
    <row r="97" customFormat="false" ht="15" hidden="false" customHeight="false" outlineLevel="0" collapsed="false">
      <c r="A97" s="10"/>
      <c r="B97" s="10" t="s">
        <v>423</v>
      </c>
      <c r="C97" s="10"/>
      <c r="D97" s="10"/>
      <c r="E97" s="10"/>
      <c r="F97" s="11" t="n">
        <f aca="false">F94+F96</f>
        <v>167131.66</v>
      </c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</row>
    <row r="98" customFormat="false" ht="15" hidden="false" customHeight="true" outlineLevel="0" collapsed="false">
      <c r="A98" s="10"/>
      <c r="B98" s="10" t="s">
        <v>424</v>
      </c>
      <c r="C98" s="10"/>
      <c r="D98" s="10"/>
      <c r="E98" s="10"/>
      <c r="F98" s="11" t="n">
        <f aca="false">ROUND(0.1*F97,2)</f>
        <v>16713.17</v>
      </c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</row>
    <row r="99" customFormat="false" ht="15" hidden="false" customHeight="false" outlineLevel="0" collapsed="false">
      <c r="A99" s="12"/>
      <c r="B99" s="12" t="s">
        <v>425</v>
      </c>
      <c r="C99" s="12"/>
      <c r="D99" s="12"/>
      <c r="E99" s="12"/>
      <c r="F99" s="13" t="n">
        <f aca="false">F97+F98</f>
        <v>183844.83</v>
      </c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</row>
    <row r="102" customFormat="false" ht="15" hidden="false" customHeight="false" outlineLevel="0" collapsed="false">
      <c r="B102" s="14" t="s">
        <v>426</v>
      </c>
    </row>
  </sheetData>
  <autoFilter ref="A1:R92"/>
  <hyperlinks>
    <hyperlink ref="L2" r:id="rId1" display="https://probots.co.in/raspberry-pi-5-model-b-bcm2712-arm-cortex-a76-8gb-ram-2-4ghz-single-board-computer.html"/>
    <hyperlink ref="L3" r:id="rId2" display="https://probots.co.in/official-raspberry-pi-ai-hat-26-tops.html"/>
    <hyperlink ref="L4" r:id="rId3" display="https://probots.co.in/official-raspberry-pi-5-active-cooler-heatsink-fan.html"/>
    <hyperlink ref="L5" r:id="rId4" display="https://robocraze.com/search?q=sandisk"/>
    <hyperlink ref="L6" r:id="rId5" display="https://probots.co.in/raspberry-pi-27w-usb-c-power-supply-white-in-plug.html"/>
    <hyperlink ref="L7" r:id="rId6" display="https://probots.co.in/xl4015-step-down-buck-converter-adjustable-max-output-36v-5a.html"/>
    <hyperlink ref="L8" r:id="rId7" display="https://probots.co.in/metal-case-raspberry-pi-5-x1202-ups-board.html"/>
    <hyperlink ref="L12" r:id="rId8" display="https://lioncircuits.com/parts/ESP32-S3-WROOM-1-N16R8"/>
    <hyperlink ref="L13" r:id="rId9" display="https://lioncircuits.com/parts/MAX3485ESA+T"/>
    <hyperlink ref="L14" r:id="rId10" display="https://lioncircuits.com/parts/SM712.TCT"/>
    <hyperlink ref="L15" r:id="rId11" display="https://probots.co.in/bts7960-43a-stepper-motor-driver-h-bridge-high-power-module-motor-control.html"/>
    <hyperlink ref="L16" r:id="rId12" display="https://probots.co.in/xl4015-step-down-buck-converter-adjustable-max-output-36v-5a.html"/>
    <hyperlink ref="L17" r:id="rId13" display="https://lioncircuits.com/parts/AP2112K-3.3TRG1"/>
    <hyperlink ref="L18" r:id="rId14" display="https://lioncircuits.com/parts/PC817C"/>
    <hyperlink ref="L19" r:id="rId15" display="https://probots.co.in/2-pin-fixed-screw-terminal-block-connector-5-08mm.html"/>
    <hyperlink ref="L20" r:id="rId16" display="https://probots.co.in/piezo-electric-buzzer-alarm-3v-24v-continuous-b27.html"/>
    <hyperlink ref="L21" r:id="rId17" display="https://probots.co.in/rgb-led-12-bit-ws2812-circular-development-board.html"/>
    <hyperlink ref="L22" r:id="rId18" display="https://lioncircuits.com/"/>
    <hyperlink ref="L23" r:id="rId19" display="https://lioncircuits.com/"/>
    <hyperlink ref="L27" r:id="rId20" display="https://www.industrybuying.com/card-reader-id-tech-ITE.CAR.38552208"/>
    <hyperlink ref="L37" r:id="rId21" display="https://probots.co.in/esp32-c3-supermini-wifi-bluetooth-development-board-32-bit-risc-v-uart-i2c-spi.html"/>
    <hyperlink ref="L38" r:id="rId22" display="https://probots.co.in/vl53l1x-tof-laser-ranging-sensor-module.html"/>
    <hyperlink ref="L43" r:id="rId23" display="https://probots.co.in/p10-red-smd-outdoor-led-display-module-160x320mm.html"/>
    <hyperlink ref="L44" r:id="rId24" display="https://probots.co.in/w00-led-display-single-colour-wifi-controller-card-hd.html"/>
    <hyperlink ref="L48" r:id="rId25" display="https://www.moglix.com/lucas-tvs-wiper-motor-assembly-24-v-18-nm-for-hindustan-72-71b-front-end-loader-front-screentriv-luc-tsrxs6/mp/msnl5gln362yk4"/>
    <hyperlink ref="L49" r:id="rId26" display="https://probots.co.in/rotary-adjustable-roller-micro-limit-switch-me-8108.html"/>
    <hyperlink ref="L50" r:id="rId27" display="https://m.indiamart.com/proddetail/ps-mt5-usb2-delta-18mm-thru-beam-gkdp-18-3a30-pc-my3n-j-24vdc-my3n-j-12vdc-my3n-j-110vac-pyf11a-e-26029950830.html"/>
    <hyperlink ref="L51" r:id="rId28" display="https://probots.co.in/promax-22mm-emergency-stop-switch-mushroom-head-waterproof-metal-2-pole.html"/>
    <hyperlink ref="L59" r:id="rId29" display="https://probots.co.in/smps-metal-power-supply-24v-8-8a-211-2w-lrs-200-24-mean-well.html"/>
    <hyperlink ref="L60" r:id="rId30" display="https://probots.co.in/mean-well-smps-12v-8-5a-102w-metal-power-supply-lrs-100-12.html"/>
    <hyperlink ref="L61" r:id="rId31" display="https://lntsufin.com/product/schneider-electric-acti9-xc60-a9n1p06c-single-pole-6-a-c-curve-mcb/17753-69"/>
    <hyperlink ref="L63" r:id="rId32" display="https://m.indiamart.com/proddetail/surge-protection-device-2859297106848.html"/>
    <hyperlink ref="L64" r:id="rId33" display="https://m.indiamart.com/proddetail/mini-ups-for-wifi-router-25743173988.html"/>
    <hyperlink ref="L71" r:id="rId34" display="https://m.indiamart.com/proddetail/250x190x95mm-outdoor-pole-box-2858984643197.html"/>
    <hyperlink ref="L74" r:id="rId35" display="https://m.indiamart.com/simplexprofilosystems/aluminium-extrusion-profiles.html"/>
    <hyperlink ref="L75" r:id="rId36" display="https://m.indiamart.com/simplexprofilosystems/aluminium-extrusion-profiles.html"/>
    <hyperlink ref="L76" r:id="rId37" display="https://robocraze.com/products/600mm-2020-european-standard-aluminium-profile"/>
    <hyperlink ref="L77" r:id="rId38" display="https://m.indiamart.com/simplexprofilosystems/"/>
    <hyperlink ref="L78" r:id="rId39" display="https://m.indiamart.com/simplexprofilosystems/"/>
    <hyperlink ref="L79" r:id="rId40" display="https://m.indiamart.com/simplexprofilosystems/"/>
    <hyperlink ref="L80" r:id="rId41" display="https://m.indiamart.com/proddetail/cnc-laser-cutting-service-2849776118462.html"/>
    <hyperlink ref="L81" r:id="rId42" display="https://m.indiamart.com/proddetail/cnc-laser-cutting-service-2849776118462.html"/>
    <hyperlink ref="L82" r:id="rId43" display="https://m.indiamart.com/proddetail/aluminum-rectangular-pipe-2406025197.htm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4" min="2" style="1" width="18"/>
    <col collapsed="false" customWidth="true" hidden="false" outlineLevel="0" max="5" min="5" style="1" width="22"/>
    <col collapsed="false" customWidth="true" hidden="false" outlineLevel="0" max="6" min="6" style="1" width="14"/>
    <col collapsed="false" customWidth="true" hidden="false" outlineLevel="0" max="7" min="7" style="1" width="9"/>
    <col collapsed="false" customWidth="true" hidden="false" outlineLevel="0" max="8" min="8" style="1" width="12"/>
    <col collapsed="false" customWidth="true" hidden="false" outlineLevel="0" max="9" min="9" style="1" width="16"/>
  </cols>
  <sheetData>
    <row r="1" customFormat="false" ht="41.25" hidden="false" customHeight="true" outlineLevel="0" collapsed="false">
      <c r="A1" s="15" t="s">
        <v>0</v>
      </c>
      <c r="B1" s="15" t="s">
        <v>427</v>
      </c>
      <c r="C1" s="15" t="s">
        <v>428</v>
      </c>
      <c r="D1" s="15" t="s">
        <v>429</v>
      </c>
      <c r="E1" s="15" t="s">
        <v>430</v>
      </c>
      <c r="F1" s="15" t="s">
        <v>431</v>
      </c>
      <c r="G1" s="15" t="s">
        <v>432</v>
      </c>
      <c r="H1" s="15" t="s">
        <v>433</v>
      </c>
      <c r="I1" s="15" t="s">
        <v>434</v>
      </c>
    </row>
    <row r="2" customFormat="false" ht="15" hidden="false" customHeight="true" outlineLevel="0" collapsed="false">
      <c r="A2" s="16" t="s">
        <v>18</v>
      </c>
      <c r="B2" s="17" t="n">
        <f aca="false">BOM!F10</f>
        <v>43020</v>
      </c>
      <c r="C2" s="17" t="n">
        <f aca="false">BOM!Q10</f>
        <v>5099</v>
      </c>
      <c r="D2" s="17" t="n">
        <f aca="false">BOM!R10</f>
        <v>5499</v>
      </c>
      <c r="E2" s="17" t="n">
        <f aca="false">B2+D2</f>
        <v>48519</v>
      </c>
      <c r="F2" s="16" t="n">
        <f aca="false">BOM!K10</f>
        <v>7</v>
      </c>
      <c r="G2" s="16" t="n">
        <v>8</v>
      </c>
      <c r="H2" s="16" t="n">
        <v>2</v>
      </c>
      <c r="I2" s="16" t="n">
        <v>0</v>
      </c>
    </row>
    <row r="3" customFormat="false" ht="15" hidden="false" customHeight="true" outlineLevel="0" collapsed="false">
      <c r="A3" s="16" t="s">
        <v>72</v>
      </c>
      <c r="B3" s="17" t="n">
        <f aca="false">BOM!F25</f>
        <v>4476.54</v>
      </c>
      <c r="C3" s="17" t="n">
        <f aca="false">BOM!Q25</f>
        <v>3300</v>
      </c>
      <c r="D3" s="17" t="n">
        <f aca="false">BOM!R25</f>
        <v>6500</v>
      </c>
      <c r="E3" s="17" t="n">
        <f aca="false">B3+D3</f>
        <v>10976.54</v>
      </c>
      <c r="F3" s="16" t="n">
        <f aca="false">BOM!K25</f>
        <v>10</v>
      </c>
      <c r="G3" s="16" t="n">
        <v>13</v>
      </c>
      <c r="H3" s="16" t="n">
        <v>2</v>
      </c>
      <c r="I3" s="16" t="n">
        <v>0</v>
      </c>
    </row>
    <row r="4" customFormat="false" ht="15" hidden="false" customHeight="true" outlineLevel="0" collapsed="false">
      <c r="A4" s="16" t="s">
        <v>134</v>
      </c>
      <c r="B4" s="17" t="n">
        <f aca="false">BOM!F29</f>
        <v>26100.6</v>
      </c>
      <c r="C4" s="17" t="n">
        <f aca="false">BOM!Q29</f>
        <v>0</v>
      </c>
      <c r="D4" s="17" t="n">
        <f aca="false">BOM!R29</f>
        <v>0</v>
      </c>
      <c r="E4" s="17" t="n">
        <f aca="false">B4+D4</f>
        <v>26100.6</v>
      </c>
      <c r="F4" s="16" t="n">
        <f aca="false">BOM!K29</f>
        <v>6</v>
      </c>
      <c r="G4" s="16" t="n">
        <v>2</v>
      </c>
      <c r="H4" s="16" t="n">
        <v>0</v>
      </c>
      <c r="I4" s="16" t="n">
        <v>0</v>
      </c>
    </row>
    <row r="5" customFormat="false" ht="15" hidden="false" customHeight="true" outlineLevel="0" collapsed="false">
      <c r="A5" s="16" t="s">
        <v>150</v>
      </c>
      <c r="B5" s="17" t="n">
        <f aca="false">BOM!F32</f>
        <v>4071</v>
      </c>
      <c r="C5" s="17" t="n">
        <f aca="false">BOM!Q32</f>
        <v>0</v>
      </c>
      <c r="D5" s="17" t="n">
        <f aca="false">BOM!R32</f>
        <v>0</v>
      </c>
      <c r="E5" s="17" t="n">
        <f aca="false">B5+D5</f>
        <v>4071</v>
      </c>
      <c r="F5" s="16" t="n">
        <f aca="false">BOM!K32</f>
        <v>7</v>
      </c>
      <c r="G5" s="16" t="n">
        <v>1</v>
      </c>
      <c r="H5" s="16" t="n">
        <v>0</v>
      </c>
      <c r="I5" s="16" t="n">
        <v>0</v>
      </c>
    </row>
    <row r="6" customFormat="false" ht="15" hidden="false" customHeight="true" outlineLevel="0" collapsed="false">
      <c r="A6" s="16" t="s">
        <v>159</v>
      </c>
      <c r="B6" s="17" t="n">
        <f aca="false">BOM!F35</f>
        <v>5310</v>
      </c>
      <c r="C6" s="17" t="n">
        <f aca="false">BOM!Q35</f>
        <v>0</v>
      </c>
      <c r="D6" s="17" t="n">
        <f aca="false">BOM!R35</f>
        <v>0</v>
      </c>
      <c r="E6" s="17" t="n">
        <f aca="false">B6+D6</f>
        <v>5310</v>
      </c>
      <c r="F6" s="16" t="n">
        <f aca="false">BOM!K35</f>
        <v>7</v>
      </c>
      <c r="G6" s="16" t="n">
        <v>1</v>
      </c>
      <c r="H6" s="16" t="n">
        <v>0</v>
      </c>
      <c r="I6" s="16" t="n">
        <v>0</v>
      </c>
    </row>
    <row r="7" customFormat="false" ht="15" hidden="false" customHeight="true" outlineLevel="0" collapsed="false">
      <c r="A7" s="16" t="s">
        <v>168</v>
      </c>
      <c r="B7" s="17" t="n">
        <f aca="false">BOM!F41</f>
        <v>4760</v>
      </c>
      <c r="C7" s="17" t="n">
        <f aca="false">BOM!Q41</f>
        <v>800</v>
      </c>
      <c r="D7" s="17" t="n">
        <f aca="false">BOM!R41</f>
        <v>1400</v>
      </c>
      <c r="E7" s="17" t="n">
        <f aca="false">B7+D7</f>
        <v>6160</v>
      </c>
      <c r="F7" s="16" t="n">
        <f aca="false">BOM!K41</f>
        <v>14</v>
      </c>
      <c r="G7" s="16" t="n">
        <v>4</v>
      </c>
      <c r="H7" s="16" t="n">
        <v>1</v>
      </c>
      <c r="I7" s="16" t="n">
        <v>0</v>
      </c>
    </row>
    <row r="8" customFormat="false" ht="15" hidden="false" customHeight="true" outlineLevel="0" collapsed="false">
      <c r="A8" s="16" t="s">
        <v>188</v>
      </c>
      <c r="B8" s="17" t="n">
        <f aca="false">BOM!F46</f>
        <v>1536</v>
      </c>
      <c r="C8" s="17" t="n">
        <f aca="false">BOM!Q46</f>
        <v>0</v>
      </c>
      <c r="D8" s="17" t="n">
        <f aca="false">BOM!R46</f>
        <v>0</v>
      </c>
      <c r="E8" s="17" t="n">
        <f aca="false">B8+D8</f>
        <v>1536</v>
      </c>
      <c r="F8" s="16" t="n">
        <f aca="false">BOM!K46</f>
        <v>14</v>
      </c>
      <c r="G8" s="16" t="n">
        <v>3</v>
      </c>
      <c r="H8" s="16" t="n">
        <v>0</v>
      </c>
      <c r="I8" s="16" t="n">
        <v>0</v>
      </c>
    </row>
    <row r="9" customFormat="false" ht="15" hidden="false" customHeight="true" outlineLevel="0" collapsed="false">
      <c r="A9" s="16" t="s">
        <v>203</v>
      </c>
      <c r="B9" s="17" t="n">
        <f aca="false">BOM!F57</f>
        <v>10703.94</v>
      </c>
      <c r="C9" s="17" t="n">
        <f aca="false">BOM!Q57</f>
        <v>1700</v>
      </c>
      <c r="D9" s="17" t="n">
        <f aca="false">BOM!R57</f>
        <v>4100</v>
      </c>
      <c r="E9" s="17" t="n">
        <f aca="false">B9+D9</f>
        <v>14803.94</v>
      </c>
      <c r="F9" s="16" t="n">
        <f aca="false">BOM!K57</f>
        <v>7</v>
      </c>
      <c r="G9" s="16" t="n">
        <v>9</v>
      </c>
      <c r="H9" s="16" t="n">
        <v>2</v>
      </c>
      <c r="I9" s="16" t="n">
        <v>0</v>
      </c>
    </row>
    <row r="10" customFormat="false" ht="15" hidden="false" customHeight="true" outlineLevel="0" collapsed="false">
      <c r="A10" s="16" t="s">
        <v>260</v>
      </c>
      <c r="B10" s="17" t="n">
        <f aca="false">BOM!F72</f>
        <v>8423.32</v>
      </c>
      <c r="C10" s="17" t="n">
        <f aca="false">BOM!Q72</f>
        <v>2350</v>
      </c>
      <c r="D10" s="17" t="n">
        <f aca="false">BOM!R72</f>
        <v>4700</v>
      </c>
      <c r="E10" s="17" t="n">
        <f aca="false">B10+D10</f>
        <v>13123.32</v>
      </c>
      <c r="F10" s="16" t="n">
        <f aca="false">BOM!K72</f>
        <v>6</v>
      </c>
      <c r="G10" s="16" t="n">
        <v>13</v>
      </c>
      <c r="H10" s="16" t="n">
        <v>4</v>
      </c>
      <c r="I10" s="16" t="n">
        <v>0</v>
      </c>
    </row>
    <row r="11" customFormat="false" ht="15" hidden="false" customHeight="true" outlineLevel="0" collapsed="false">
      <c r="A11" s="16" t="s">
        <v>330</v>
      </c>
      <c r="B11" s="17" t="n">
        <f aca="false">BOM!F92</f>
        <v>16431.26</v>
      </c>
      <c r="C11" s="17" t="n">
        <f aca="false">BOM!Q92</f>
        <v>10100</v>
      </c>
      <c r="D11" s="17" t="n">
        <f aca="false">BOM!R92</f>
        <v>20100</v>
      </c>
      <c r="E11" s="17" t="n">
        <f aca="false">B11+D11</f>
        <v>36531.26</v>
      </c>
      <c r="F11" s="16" t="n">
        <f aca="false">BOM!K92</f>
        <v>14</v>
      </c>
      <c r="G11" s="16" t="n">
        <v>18</v>
      </c>
      <c r="H11" s="16" t="n">
        <v>7</v>
      </c>
      <c r="I11" s="16" t="n">
        <v>0</v>
      </c>
    </row>
    <row r="12" customFormat="false" ht="15" hidden="false" customHeight="true" outlineLevel="0" collapsed="false">
      <c r="A12" s="10" t="s">
        <v>435</v>
      </c>
      <c r="B12" s="18" t="n">
        <f aca="false">SUM(B2:B11)</f>
        <v>124832.66</v>
      </c>
      <c r="C12" s="18" t="n">
        <f aca="false">SUM(C2:C11)</f>
        <v>23349</v>
      </c>
      <c r="D12" s="18" t="n">
        <f aca="false">SUM(D2:D11)</f>
        <v>42299</v>
      </c>
      <c r="E12" s="18" t="n">
        <f aca="false">SUM(E2:E11)</f>
        <v>167131.66</v>
      </c>
      <c r="F12" s="10" t="n">
        <f aca="false">MAX(F2:F11)</f>
        <v>14</v>
      </c>
      <c r="G12" s="10" t="n">
        <f aca="false">SUM(G2:G11)</f>
        <v>72</v>
      </c>
      <c r="H12" s="10" t="n">
        <f aca="false">SUM(H2:H11)</f>
        <v>18</v>
      </c>
      <c r="I12" s="10" t="n">
        <f aca="false">SUM(I2:I11)</f>
        <v>0</v>
      </c>
    </row>
    <row r="13" customFormat="false" ht="15" hidden="false" customHeight="true" outlineLevel="0" collapsed="false">
      <c r="A13" s="10" t="s">
        <v>436</v>
      </c>
      <c r="B13" s="18"/>
      <c r="C13" s="18"/>
      <c r="D13" s="18"/>
      <c r="E13" s="18" t="n">
        <f aca="false">ROUND(0.1*E12,2)</f>
        <v>16713.17</v>
      </c>
      <c r="F13" s="10"/>
      <c r="G13" s="10"/>
      <c r="H13" s="10"/>
      <c r="I13" s="10"/>
    </row>
    <row r="14" customFormat="false" ht="15" hidden="false" customHeight="true" outlineLevel="0" collapsed="false">
      <c r="A14" s="10" t="s">
        <v>437</v>
      </c>
      <c r="B14" s="18"/>
      <c r="C14" s="18"/>
      <c r="D14" s="18"/>
      <c r="E14" s="18" t="n">
        <f aca="false">E12+E13</f>
        <v>183844.83</v>
      </c>
      <c r="F14" s="10"/>
      <c r="G14" s="10"/>
      <c r="H14" s="10"/>
      <c r="I14" s="10"/>
    </row>
    <row r="16" customFormat="false" ht="15" hidden="false" customHeight="true" outlineLevel="0" collapsed="false">
      <c r="A16" s="1" t="s">
        <v>438</v>
      </c>
      <c r="E16" s="19" t="n">
        <f aca="false">BOM!F99</f>
        <v>183844.83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90"/>
    <col collapsed="false" customWidth="true" hidden="false" outlineLevel="0" max="3" min="3" style="1" width="40"/>
    <col collapsed="false" customWidth="true" hidden="false" outlineLevel="0" max="4" min="4" style="1" width="60"/>
    <col collapsed="false" customWidth="true" hidden="false" outlineLevel="0" max="5" min="5" style="1" width="12"/>
  </cols>
  <sheetData>
    <row r="1" customFormat="false" ht="15" hidden="false" customHeight="true" outlineLevel="0" collapsed="false">
      <c r="A1" s="20" t="s">
        <v>439</v>
      </c>
      <c r="B1" s="20" t="s">
        <v>440</v>
      </c>
      <c r="C1" s="20" t="s">
        <v>441</v>
      </c>
      <c r="D1" s="20" t="s">
        <v>442</v>
      </c>
      <c r="E1" s="20" t="s">
        <v>15</v>
      </c>
    </row>
    <row r="2" customFormat="false" ht="15" hidden="false" customHeight="true" outlineLevel="0" collapsed="false">
      <c r="A2" s="1" t="n">
        <v>1</v>
      </c>
      <c r="B2" s="21" t="s">
        <v>24</v>
      </c>
      <c r="C2" s="1" t="s">
        <v>443</v>
      </c>
      <c r="D2" s="1" t="s">
        <v>444</v>
      </c>
      <c r="E2" s="1" t="s">
        <v>28</v>
      </c>
    </row>
    <row r="3" customFormat="false" ht="15" hidden="false" customHeight="true" outlineLevel="0" collapsed="false">
      <c r="A3" s="1" t="n">
        <v>2</v>
      </c>
      <c r="B3" s="21" t="s">
        <v>31</v>
      </c>
      <c r="C3" s="1" t="s">
        <v>445</v>
      </c>
      <c r="D3" s="1" t="s">
        <v>444</v>
      </c>
      <c r="E3" s="1" t="s">
        <v>28</v>
      </c>
    </row>
    <row r="4" customFormat="false" ht="15" hidden="false" customHeight="true" outlineLevel="0" collapsed="false">
      <c r="A4" s="1" t="n">
        <v>3</v>
      </c>
      <c r="B4" s="21" t="s">
        <v>36</v>
      </c>
      <c r="C4" s="1" t="s">
        <v>446</v>
      </c>
      <c r="D4" s="1" t="s">
        <v>444</v>
      </c>
      <c r="E4" s="1" t="s">
        <v>28</v>
      </c>
    </row>
    <row r="5" customFormat="false" ht="15" hidden="false" customHeight="true" outlineLevel="0" collapsed="false">
      <c r="A5" s="1" t="n">
        <v>4</v>
      </c>
      <c r="B5" s="21" t="s">
        <v>43</v>
      </c>
      <c r="C5" s="1" t="s">
        <v>447</v>
      </c>
      <c r="D5" s="1" t="s">
        <v>46</v>
      </c>
      <c r="E5" s="1" t="s">
        <v>47</v>
      </c>
    </row>
    <row r="6" customFormat="false" ht="15" hidden="false" customHeight="true" outlineLevel="0" collapsed="false">
      <c r="A6" s="1" t="n">
        <v>5</v>
      </c>
      <c r="B6" s="21" t="s">
        <v>50</v>
      </c>
      <c r="C6" s="1" t="s">
        <v>448</v>
      </c>
      <c r="D6" s="1" t="s">
        <v>444</v>
      </c>
      <c r="E6" s="1" t="s">
        <v>28</v>
      </c>
    </row>
    <row r="7" customFormat="false" ht="15" hidden="false" customHeight="true" outlineLevel="0" collapsed="false">
      <c r="A7" s="1" t="n">
        <v>6</v>
      </c>
      <c r="B7" s="21" t="s">
        <v>55</v>
      </c>
      <c r="C7" s="1" t="s">
        <v>449</v>
      </c>
      <c r="D7" s="1" t="s">
        <v>444</v>
      </c>
      <c r="E7" s="1" t="s">
        <v>28</v>
      </c>
    </row>
    <row r="8" customFormat="false" ht="15" hidden="false" customHeight="true" outlineLevel="0" collapsed="false">
      <c r="A8" s="1" t="n">
        <v>7</v>
      </c>
      <c r="B8" s="21" t="s">
        <v>62</v>
      </c>
      <c r="C8" s="1" t="s">
        <v>450</v>
      </c>
      <c r="D8" s="1" t="s">
        <v>451</v>
      </c>
      <c r="E8" s="1" t="s">
        <v>28</v>
      </c>
    </row>
    <row r="9" customFormat="false" ht="15" hidden="false" customHeight="true" outlineLevel="0" collapsed="false">
      <c r="A9" s="1" t="n">
        <v>8</v>
      </c>
      <c r="B9" s="21" t="s">
        <v>77</v>
      </c>
      <c r="C9" s="1" t="s">
        <v>452</v>
      </c>
      <c r="D9" s="1" t="s">
        <v>444</v>
      </c>
      <c r="E9" s="1" t="s">
        <v>28</v>
      </c>
    </row>
    <row r="10" customFormat="false" ht="15" hidden="false" customHeight="true" outlineLevel="0" collapsed="false">
      <c r="A10" s="1" t="n">
        <v>9</v>
      </c>
      <c r="B10" s="21" t="s">
        <v>82</v>
      </c>
      <c r="C10" s="1" t="s">
        <v>453</v>
      </c>
      <c r="D10" s="1" t="s">
        <v>27</v>
      </c>
      <c r="E10" s="1" t="s">
        <v>47</v>
      </c>
    </row>
    <row r="11" customFormat="false" ht="15" hidden="false" customHeight="true" outlineLevel="0" collapsed="false">
      <c r="A11" s="1" t="n">
        <v>10</v>
      </c>
      <c r="B11" s="21" t="s">
        <v>87</v>
      </c>
      <c r="C11" s="1" t="s">
        <v>454</v>
      </c>
      <c r="D11" s="1" t="s">
        <v>27</v>
      </c>
      <c r="E11" s="1" t="s">
        <v>47</v>
      </c>
    </row>
    <row r="12" customFormat="false" ht="15" hidden="false" customHeight="true" outlineLevel="0" collapsed="false">
      <c r="A12" s="1" t="n">
        <v>11</v>
      </c>
      <c r="B12" s="21" t="s">
        <v>91</v>
      </c>
      <c r="C12" s="1" t="s">
        <v>455</v>
      </c>
      <c r="D12" s="1" t="s">
        <v>444</v>
      </c>
      <c r="E12" s="1" t="s">
        <v>28</v>
      </c>
    </row>
    <row r="13" customFormat="false" ht="15" hidden="false" customHeight="true" outlineLevel="0" collapsed="false">
      <c r="A13" s="1" t="n">
        <v>12</v>
      </c>
      <c r="B13" s="21" t="s">
        <v>99</v>
      </c>
      <c r="C13" s="1" t="s">
        <v>456</v>
      </c>
      <c r="D13" s="1" t="s">
        <v>27</v>
      </c>
      <c r="E13" s="1" t="s">
        <v>47</v>
      </c>
    </row>
    <row r="14" customFormat="false" ht="15" hidden="false" customHeight="true" outlineLevel="0" collapsed="false">
      <c r="A14" s="1" t="n">
        <v>13</v>
      </c>
      <c r="B14" s="21" t="s">
        <v>103</v>
      </c>
      <c r="C14" s="1" t="s">
        <v>457</v>
      </c>
      <c r="D14" s="1" t="s">
        <v>27</v>
      </c>
      <c r="E14" s="1" t="s">
        <v>47</v>
      </c>
    </row>
    <row r="15" customFormat="false" ht="15" hidden="false" customHeight="true" outlineLevel="0" collapsed="false">
      <c r="A15" s="1" t="n">
        <v>14</v>
      </c>
      <c r="B15" s="21" t="s">
        <v>107</v>
      </c>
      <c r="C15" s="1" t="s">
        <v>458</v>
      </c>
      <c r="D15" s="1" t="s">
        <v>27</v>
      </c>
      <c r="E15" s="1" t="s">
        <v>47</v>
      </c>
    </row>
    <row r="16" customFormat="false" ht="15" hidden="false" customHeight="true" outlineLevel="0" collapsed="false">
      <c r="A16" s="1" t="n">
        <v>15</v>
      </c>
      <c r="B16" s="21" t="s">
        <v>111</v>
      </c>
      <c r="C16" s="1" t="s">
        <v>459</v>
      </c>
      <c r="D16" s="1" t="s">
        <v>46</v>
      </c>
      <c r="E16" s="1" t="s">
        <v>47</v>
      </c>
    </row>
    <row r="17" customFormat="false" ht="15" hidden="false" customHeight="true" outlineLevel="0" collapsed="false">
      <c r="A17" s="1" t="n">
        <v>16</v>
      </c>
      <c r="B17" s="21" t="s">
        <v>115</v>
      </c>
      <c r="C17" s="1" t="s">
        <v>460</v>
      </c>
      <c r="D17" s="1" t="s">
        <v>27</v>
      </c>
      <c r="E17" s="1" t="s">
        <v>47</v>
      </c>
    </row>
    <row r="18" customFormat="false" ht="15" hidden="false" customHeight="true" outlineLevel="0" collapsed="false">
      <c r="A18" s="1" t="n">
        <v>17</v>
      </c>
      <c r="B18" s="21" t="s">
        <v>119</v>
      </c>
      <c r="C18" s="1" t="s">
        <v>461</v>
      </c>
      <c r="D18" s="1" t="s">
        <v>122</v>
      </c>
      <c r="E18" s="1" t="s">
        <v>47</v>
      </c>
    </row>
    <row r="19" customFormat="false" ht="15" hidden="false" customHeight="true" outlineLevel="0" collapsed="false">
      <c r="A19" s="1" t="n">
        <v>18</v>
      </c>
      <c r="B19" s="21" t="s">
        <v>140</v>
      </c>
      <c r="C19" s="1" t="s">
        <v>462</v>
      </c>
      <c r="D19" s="1" t="s">
        <v>444</v>
      </c>
      <c r="E19" s="1" t="s">
        <v>28</v>
      </c>
    </row>
    <row r="20" customFormat="false" ht="15" hidden="false" customHeight="true" outlineLevel="0" collapsed="false">
      <c r="A20" s="1" t="n">
        <v>19</v>
      </c>
      <c r="B20" s="21" t="s">
        <v>147</v>
      </c>
      <c r="C20" s="1" t="s">
        <v>463</v>
      </c>
      <c r="D20" s="1" t="s">
        <v>464</v>
      </c>
      <c r="E20" s="1" t="s">
        <v>28</v>
      </c>
    </row>
    <row r="21" customFormat="false" ht="15" hidden="false" customHeight="true" outlineLevel="0" collapsed="false">
      <c r="A21" s="1" t="n">
        <v>20</v>
      </c>
      <c r="B21" s="21" t="s">
        <v>155</v>
      </c>
      <c r="C21" s="1" t="s">
        <v>465</v>
      </c>
      <c r="D21" s="1" t="s">
        <v>444</v>
      </c>
      <c r="E21" s="1" t="s">
        <v>28</v>
      </c>
    </row>
    <row r="22" customFormat="false" ht="15" hidden="false" customHeight="true" outlineLevel="0" collapsed="false">
      <c r="A22" s="1" t="n">
        <v>21</v>
      </c>
      <c r="B22" s="21" t="s">
        <v>164</v>
      </c>
      <c r="C22" s="1" t="s">
        <v>466</v>
      </c>
      <c r="D22" s="1" t="s">
        <v>444</v>
      </c>
      <c r="E22" s="1" t="s">
        <v>28</v>
      </c>
    </row>
    <row r="23" customFormat="false" ht="15" hidden="false" customHeight="true" outlineLevel="0" collapsed="false">
      <c r="A23" s="1" t="n">
        <v>22</v>
      </c>
      <c r="B23" s="21" t="s">
        <v>171</v>
      </c>
      <c r="C23" s="1" t="s">
        <v>467</v>
      </c>
      <c r="D23" s="1" t="s">
        <v>444</v>
      </c>
      <c r="E23" s="1" t="s">
        <v>28</v>
      </c>
    </row>
    <row r="24" customFormat="false" ht="15" hidden="false" customHeight="true" outlineLevel="0" collapsed="false">
      <c r="A24" s="1" t="n">
        <v>23</v>
      </c>
      <c r="B24" s="21" t="s">
        <v>176</v>
      </c>
      <c r="C24" s="1" t="s">
        <v>468</v>
      </c>
      <c r="D24" s="1" t="s">
        <v>444</v>
      </c>
      <c r="E24" s="1" t="s">
        <v>28</v>
      </c>
    </row>
    <row r="25" customFormat="false" ht="15" hidden="false" customHeight="true" outlineLevel="0" collapsed="false">
      <c r="A25" s="1" t="n">
        <v>24</v>
      </c>
      <c r="B25" s="21" t="s">
        <v>191</v>
      </c>
      <c r="C25" s="1" t="s">
        <v>469</v>
      </c>
      <c r="D25" s="1" t="s">
        <v>444</v>
      </c>
      <c r="E25" s="1" t="s">
        <v>28</v>
      </c>
    </row>
    <row r="26" customFormat="false" ht="15" hidden="false" customHeight="true" outlineLevel="0" collapsed="false">
      <c r="A26" s="1" t="n">
        <v>25</v>
      </c>
      <c r="B26" s="21" t="s">
        <v>196</v>
      </c>
      <c r="C26" s="1" t="s">
        <v>470</v>
      </c>
      <c r="D26" s="1" t="s">
        <v>27</v>
      </c>
      <c r="E26" s="1" t="s">
        <v>47</v>
      </c>
    </row>
    <row r="27" customFormat="false" ht="15" hidden="false" customHeight="true" outlineLevel="0" collapsed="false">
      <c r="A27" s="1" t="n">
        <v>26</v>
      </c>
      <c r="B27" s="21" t="s">
        <v>208</v>
      </c>
      <c r="C27" s="1" t="s">
        <v>471</v>
      </c>
      <c r="D27" s="1" t="s">
        <v>444</v>
      </c>
      <c r="E27" s="1" t="s">
        <v>28</v>
      </c>
    </row>
    <row r="28" customFormat="false" ht="15" hidden="false" customHeight="true" outlineLevel="0" collapsed="false">
      <c r="A28" s="1" t="n">
        <v>27</v>
      </c>
      <c r="B28" s="21" t="s">
        <v>213</v>
      </c>
      <c r="C28" s="1" t="s">
        <v>472</v>
      </c>
      <c r="D28" s="1" t="s">
        <v>444</v>
      </c>
      <c r="E28" s="1" t="s">
        <v>28</v>
      </c>
    </row>
    <row r="29" customFormat="false" ht="15" hidden="false" customHeight="true" outlineLevel="0" collapsed="false">
      <c r="A29" s="1" t="n">
        <v>28</v>
      </c>
      <c r="B29" s="21" t="s">
        <v>220</v>
      </c>
      <c r="C29" s="1" t="s">
        <v>473</v>
      </c>
      <c r="D29" s="1" t="s">
        <v>444</v>
      </c>
      <c r="E29" s="1" t="s">
        <v>28</v>
      </c>
    </row>
    <row r="30" customFormat="false" ht="15" hidden="false" customHeight="true" outlineLevel="0" collapsed="false">
      <c r="A30" s="1" t="n">
        <v>29</v>
      </c>
      <c r="B30" s="21" t="s">
        <v>225</v>
      </c>
      <c r="C30" s="1" t="s">
        <v>474</v>
      </c>
      <c r="D30" s="1" t="s">
        <v>444</v>
      </c>
      <c r="E30" s="1" t="s">
        <v>28</v>
      </c>
    </row>
    <row r="31" customFormat="false" ht="15" hidden="false" customHeight="true" outlineLevel="0" collapsed="false">
      <c r="A31" s="1" t="n">
        <v>30</v>
      </c>
      <c r="B31" s="21" t="s">
        <v>475</v>
      </c>
      <c r="C31" s="1" t="s">
        <v>476</v>
      </c>
      <c r="D31" s="1" t="s">
        <v>444</v>
      </c>
      <c r="E31" s="1" t="s">
        <v>28</v>
      </c>
    </row>
    <row r="32" customFormat="false" ht="15" hidden="false" customHeight="true" outlineLevel="0" collapsed="false">
      <c r="A32" s="1" t="n">
        <v>31</v>
      </c>
      <c r="B32" s="21" t="s">
        <v>477</v>
      </c>
      <c r="C32" s="1" t="s">
        <v>478</v>
      </c>
      <c r="D32" s="1" t="s">
        <v>444</v>
      </c>
      <c r="E32" s="1" t="s">
        <v>28</v>
      </c>
    </row>
    <row r="33" customFormat="false" ht="15" hidden="false" customHeight="true" outlineLevel="0" collapsed="false">
      <c r="A33" s="1" t="n">
        <v>32</v>
      </c>
      <c r="B33" s="21" t="s">
        <v>268</v>
      </c>
      <c r="C33" s="1" t="s">
        <v>479</v>
      </c>
      <c r="D33" s="1" t="s">
        <v>444</v>
      </c>
      <c r="E33" s="1" t="s">
        <v>28</v>
      </c>
    </row>
    <row r="34" customFormat="false" ht="15" hidden="false" customHeight="true" outlineLevel="0" collapsed="false">
      <c r="A34" s="1" t="n">
        <v>33</v>
      </c>
      <c r="B34" s="21" t="s">
        <v>275</v>
      </c>
      <c r="C34" s="1" t="s">
        <v>480</v>
      </c>
      <c r="D34" s="1" t="s">
        <v>444</v>
      </c>
      <c r="E34" s="1" t="s">
        <v>28</v>
      </c>
    </row>
    <row r="35" customFormat="false" ht="15" hidden="false" customHeight="true" outlineLevel="0" collapsed="false">
      <c r="A35" s="1" t="n">
        <v>34</v>
      </c>
      <c r="B35" s="21" t="s">
        <v>281</v>
      </c>
      <c r="C35" s="1" t="s">
        <v>481</v>
      </c>
      <c r="D35" s="1" t="s">
        <v>65</v>
      </c>
      <c r="E35" s="1" t="s">
        <v>47</v>
      </c>
    </row>
    <row r="36" customFormat="false" ht="15" hidden="false" customHeight="true" outlineLevel="0" collapsed="false">
      <c r="A36" s="1" t="n">
        <v>35</v>
      </c>
      <c r="B36" s="21" t="s">
        <v>287</v>
      </c>
      <c r="C36" s="1" t="s">
        <v>482</v>
      </c>
      <c r="D36" s="1" t="s">
        <v>444</v>
      </c>
      <c r="E36" s="1" t="s">
        <v>28</v>
      </c>
    </row>
    <row r="37" customFormat="false" ht="15" hidden="false" customHeight="true" outlineLevel="0" collapsed="false">
      <c r="A37" s="1" t="n">
        <v>36</v>
      </c>
      <c r="B37" s="21" t="s">
        <v>293</v>
      </c>
      <c r="C37" s="1" t="s">
        <v>483</v>
      </c>
      <c r="D37" s="1" t="s">
        <v>464</v>
      </c>
      <c r="E37" s="1" t="s">
        <v>28</v>
      </c>
    </row>
    <row r="38" customFormat="false" ht="15" hidden="false" customHeight="true" outlineLevel="0" collapsed="false">
      <c r="A38" s="1" t="n">
        <v>37</v>
      </c>
      <c r="B38" s="21" t="s">
        <v>302</v>
      </c>
      <c r="C38" s="1" t="s">
        <v>484</v>
      </c>
      <c r="D38" s="1" t="s">
        <v>304</v>
      </c>
      <c r="E38" s="1" t="s">
        <v>47</v>
      </c>
    </row>
    <row r="39" customFormat="false" ht="15" hidden="false" customHeight="true" outlineLevel="0" collapsed="false">
      <c r="A39" s="1" t="n">
        <v>38</v>
      </c>
      <c r="B39" s="21" t="s">
        <v>335</v>
      </c>
      <c r="C39" s="1" t="s">
        <v>485</v>
      </c>
      <c r="D39" s="1" t="s">
        <v>464</v>
      </c>
      <c r="E39" s="1" t="s">
        <v>28</v>
      </c>
    </row>
    <row r="40" customFormat="false" ht="15" hidden="false" customHeight="true" outlineLevel="0" collapsed="false">
      <c r="A40" s="1" t="n">
        <v>39</v>
      </c>
      <c r="B40" s="21" t="s">
        <v>344</v>
      </c>
      <c r="C40" s="1" t="s">
        <v>486</v>
      </c>
      <c r="D40" s="1" t="s">
        <v>444</v>
      </c>
      <c r="E40" s="1" t="s">
        <v>28</v>
      </c>
    </row>
    <row r="41" customFormat="false" ht="15" hidden="false" customHeight="true" outlineLevel="0" collapsed="false">
      <c r="A41" s="1" t="n">
        <v>40</v>
      </c>
      <c r="B41" s="21" t="s">
        <v>350</v>
      </c>
      <c r="C41" s="1" t="s">
        <v>487</v>
      </c>
      <c r="D41" s="1" t="s">
        <v>46</v>
      </c>
      <c r="E41" s="1" t="s">
        <v>47</v>
      </c>
    </row>
    <row r="42" customFormat="false" ht="15" hidden="false" customHeight="true" outlineLevel="0" collapsed="false">
      <c r="A42" s="1" t="n">
        <v>41</v>
      </c>
      <c r="B42" s="21" t="s">
        <v>363</v>
      </c>
      <c r="C42" s="1" t="s">
        <v>488</v>
      </c>
      <c r="D42" s="1" t="s">
        <v>65</v>
      </c>
      <c r="E42" s="1" t="s">
        <v>47</v>
      </c>
    </row>
    <row r="43" customFormat="false" ht="15" hidden="false" customHeight="true" outlineLevel="0" collapsed="false">
      <c r="A43" s="1" t="n">
        <v>42</v>
      </c>
      <c r="B43" s="21" t="s">
        <v>372</v>
      </c>
      <c r="C43" s="1" t="s">
        <v>489</v>
      </c>
      <c r="D43" s="1" t="s">
        <v>464</v>
      </c>
      <c r="E43" s="1" t="s">
        <v>28</v>
      </c>
    </row>
    <row r="44" customFormat="false" ht="15" hidden="false" customHeight="true" outlineLevel="0" collapsed="false">
      <c r="A44" s="1" t="n">
        <v>43</v>
      </c>
      <c r="B44" s="21" t="s">
        <v>378</v>
      </c>
      <c r="C44" s="1" t="s">
        <v>490</v>
      </c>
      <c r="D44" s="1" t="s">
        <v>464</v>
      </c>
      <c r="E44" s="1" t="s">
        <v>28</v>
      </c>
    </row>
    <row r="45" customFormat="false" ht="15" hidden="false" customHeight="true" outlineLevel="0" collapsed="false">
      <c r="A45" s="1" t="n">
        <v>44</v>
      </c>
      <c r="B45" s="21" t="s">
        <v>383</v>
      </c>
      <c r="C45" s="1" t="s">
        <v>491</v>
      </c>
      <c r="D45" s="1" t="s">
        <v>46</v>
      </c>
      <c r="E45" s="1" t="s">
        <v>47</v>
      </c>
    </row>
    <row r="46" customFormat="false" ht="15" hidden="false" customHeight="true" outlineLevel="0" collapsed="false">
      <c r="A46" s="1" t="n">
        <v>45</v>
      </c>
      <c r="B46" s="21" t="s">
        <v>388</v>
      </c>
      <c r="C46" s="1" t="s">
        <v>492</v>
      </c>
      <c r="D46" s="1" t="s">
        <v>46</v>
      </c>
      <c r="E46" s="1" t="s">
        <v>47</v>
      </c>
    </row>
    <row r="47" customFormat="false" ht="15" hidden="false" customHeight="true" outlineLevel="0" collapsed="false">
      <c r="A47" s="1" t="n">
        <v>46</v>
      </c>
      <c r="B47" s="21" t="s">
        <v>493</v>
      </c>
      <c r="C47" s="1" t="s">
        <v>494</v>
      </c>
      <c r="D47" s="1" t="s">
        <v>495</v>
      </c>
      <c r="E47" s="1" t="s">
        <v>28</v>
      </c>
    </row>
    <row r="48" customFormat="false" ht="15" hidden="false" customHeight="true" outlineLevel="0" collapsed="false">
      <c r="A48" s="1" t="n">
        <v>47</v>
      </c>
      <c r="B48" s="21" t="s">
        <v>496</v>
      </c>
      <c r="C48" s="1" t="s">
        <v>497</v>
      </c>
      <c r="D48" s="1" t="s">
        <v>495</v>
      </c>
      <c r="E48" s="1" t="s">
        <v>28</v>
      </c>
    </row>
    <row r="49" customFormat="false" ht="15" hidden="false" customHeight="true" outlineLevel="0" collapsed="false">
      <c r="A49" s="1" t="n">
        <v>48</v>
      </c>
      <c r="B49" s="21" t="s">
        <v>498</v>
      </c>
      <c r="C49" s="1" t="s">
        <v>499</v>
      </c>
      <c r="D49" s="1" t="s">
        <v>500</v>
      </c>
      <c r="E49" s="1" t="s">
        <v>47</v>
      </c>
    </row>
    <row r="50" customFormat="false" ht="15" hidden="false" customHeight="true" outlineLevel="0" collapsed="false">
      <c r="A50" s="1" t="n">
        <v>49</v>
      </c>
      <c r="B50" s="21" t="s">
        <v>501</v>
      </c>
      <c r="C50" s="1" t="s">
        <v>502</v>
      </c>
      <c r="D50" s="1" t="s">
        <v>500</v>
      </c>
      <c r="E50" s="1" t="s">
        <v>47</v>
      </c>
    </row>
    <row r="51" customFormat="false" ht="15" hidden="false" customHeight="true" outlineLevel="0" collapsed="false">
      <c r="A51" s="1" t="n">
        <v>50</v>
      </c>
      <c r="B51" s="21" t="s">
        <v>503</v>
      </c>
      <c r="C51" s="1" t="s">
        <v>504</v>
      </c>
      <c r="D51" s="1" t="s">
        <v>500</v>
      </c>
      <c r="E51" s="1" t="s">
        <v>47</v>
      </c>
    </row>
    <row r="52" customFormat="false" ht="15" hidden="false" customHeight="true" outlineLevel="0" collapsed="false">
      <c r="A52" s="1" t="n">
        <v>51</v>
      </c>
      <c r="B52" s="21" t="s">
        <v>505</v>
      </c>
      <c r="C52" s="1" t="s">
        <v>506</v>
      </c>
      <c r="D52" s="1" t="s">
        <v>495</v>
      </c>
      <c r="E52" s="1" t="s">
        <v>28</v>
      </c>
    </row>
    <row r="53" customFormat="false" ht="15" hidden="false" customHeight="true" outlineLevel="0" collapsed="false">
      <c r="A53" s="1" t="n">
        <v>52</v>
      </c>
      <c r="B53" s="21" t="s">
        <v>507</v>
      </c>
      <c r="C53" s="1" t="s">
        <v>508</v>
      </c>
      <c r="D53" s="1" t="s">
        <v>500</v>
      </c>
      <c r="E53" s="1" t="s">
        <v>47</v>
      </c>
    </row>
    <row r="54" customFormat="false" ht="15" hidden="false" customHeight="true" outlineLevel="0" collapsed="false">
      <c r="A54" s="1" t="n">
        <v>53</v>
      </c>
      <c r="B54" s="21" t="s">
        <v>509</v>
      </c>
      <c r="C54" s="1" t="s">
        <v>510</v>
      </c>
      <c r="D54" s="1" t="s">
        <v>500</v>
      </c>
      <c r="E54" s="1" t="s">
        <v>47</v>
      </c>
    </row>
    <row r="55" customFormat="false" ht="15" hidden="false" customHeight="true" outlineLevel="0" collapsed="false">
      <c r="A55" s="1" t="n">
        <v>54</v>
      </c>
      <c r="B55" s="21" t="s">
        <v>511</v>
      </c>
      <c r="C55" s="1" t="s">
        <v>512</v>
      </c>
      <c r="D55" s="1" t="s">
        <v>495</v>
      </c>
      <c r="E55" s="1" t="s">
        <v>28</v>
      </c>
    </row>
    <row r="56" customFormat="false" ht="15" hidden="false" customHeight="true" outlineLevel="0" collapsed="false">
      <c r="A56" s="1" t="n">
        <v>55</v>
      </c>
      <c r="B56" s="21" t="s">
        <v>513</v>
      </c>
      <c r="C56" s="1" t="s">
        <v>514</v>
      </c>
      <c r="D56" s="1" t="s">
        <v>495</v>
      </c>
      <c r="E56" s="1" t="s">
        <v>28</v>
      </c>
    </row>
    <row r="57" customFormat="false" ht="15" hidden="false" customHeight="true" outlineLevel="0" collapsed="false">
      <c r="A57" s="1" t="n">
        <v>56</v>
      </c>
      <c r="B57" s="21" t="s">
        <v>515</v>
      </c>
      <c r="C57" s="1" t="s">
        <v>516</v>
      </c>
      <c r="D57" s="1" t="s">
        <v>495</v>
      </c>
      <c r="E57" s="1" t="s">
        <v>28</v>
      </c>
    </row>
    <row r="58" customFormat="false" ht="15" hidden="false" customHeight="true" outlineLevel="0" collapsed="false">
      <c r="A58" s="1" t="n">
        <v>57</v>
      </c>
      <c r="B58" s="21" t="s">
        <v>517</v>
      </c>
      <c r="C58" s="1" t="s">
        <v>518</v>
      </c>
      <c r="D58" s="1" t="s">
        <v>495</v>
      </c>
      <c r="E58" s="1" t="s">
        <v>28</v>
      </c>
    </row>
    <row r="59" customFormat="false" ht="15" hidden="false" customHeight="true" outlineLevel="0" collapsed="false">
      <c r="A59" s="1" t="n">
        <v>58</v>
      </c>
      <c r="B59" s="21" t="s">
        <v>519</v>
      </c>
      <c r="C59" s="1" t="s">
        <v>520</v>
      </c>
      <c r="D59" s="1" t="s">
        <v>500</v>
      </c>
      <c r="E59" s="1" t="s">
        <v>47</v>
      </c>
    </row>
    <row r="60" customFormat="false" ht="15" hidden="false" customHeight="true" outlineLevel="0" collapsed="false">
      <c r="A60" s="1" t="n">
        <v>59</v>
      </c>
      <c r="B60" s="21" t="s">
        <v>521</v>
      </c>
      <c r="C60" s="1" t="s">
        <v>522</v>
      </c>
      <c r="D60" s="1" t="s">
        <v>500</v>
      </c>
      <c r="E60" s="1" t="s">
        <v>47</v>
      </c>
    </row>
    <row r="61" customFormat="false" ht="15" hidden="false" customHeight="true" outlineLevel="0" collapsed="false">
      <c r="A61" s="1" t="n">
        <v>60</v>
      </c>
      <c r="B61" s="21" t="s">
        <v>523</v>
      </c>
      <c r="C61" s="1" t="s">
        <v>524</v>
      </c>
      <c r="D61" s="1" t="s">
        <v>525</v>
      </c>
      <c r="E61" s="1" t="s">
        <v>47</v>
      </c>
    </row>
    <row r="62" customFormat="false" ht="15" hidden="false" customHeight="true" outlineLevel="0" collapsed="false">
      <c r="A62" s="1" t="n">
        <v>61</v>
      </c>
      <c r="B62" s="21" t="s">
        <v>526</v>
      </c>
      <c r="C62" s="1" t="s">
        <v>527</v>
      </c>
      <c r="D62" s="1" t="s">
        <v>528</v>
      </c>
      <c r="E62" s="1" t="s">
        <v>47</v>
      </c>
    </row>
    <row r="63" customFormat="false" ht="15" hidden="false" customHeight="true" outlineLevel="0" collapsed="false">
      <c r="A63" s="1" t="n">
        <v>62</v>
      </c>
      <c r="B63" s="21" t="s">
        <v>529</v>
      </c>
      <c r="C63" s="1" t="s">
        <v>527</v>
      </c>
      <c r="D63" s="1" t="s">
        <v>530</v>
      </c>
      <c r="E63" s="1" t="s">
        <v>47</v>
      </c>
    </row>
    <row r="64" customFormat="false" ht="15" hidden="false" customHeight="true" outlineLevel="0" collapsed="false">
      <c r="A64" s="1" t="n">
        <v>63</v>
      </c>
      <c r="B64" s="21" t="s">
        <v>531</v>
      </c>
      <c r="C64" s="1" t="s">
        <v>532</v>
      </c>
      <c r="D64" s="1" t="s">
        <v>533</v>
      </c>
      <c r="E64" s="1" t="s">
        <v>47</v>
      </c>
    </row>
    <row r="65" customFormat="false" ht="15" hidden="false" customHeight="true" outlineLevel="0" collapsed="false">
      <c r="A65" s="1" t="n">
        <v>64</v>
      </c>
      <c r="B65" s="21" t="s">
        <v>534</v>
      </c>
      <c r="C65" s="1" t="s">
        <v>535</v>
      </c>
      <c r="D65" s="1" t="s">
        <v>536</v>
      </c>
      <c r="E65" s="1" t="s">
        <v>28</v>
      </c>
    </row>
    <row r="66" customFormat="false" ht="15" hidden="false" customHeight="true" outlineLevel="0" collapsed="false">
      <c r="A66" s="1" t="n">
        <v>65</v>
      </c>
      <c r="B66" s="21" t="s">
        <v>537</v>
      </c>
      <c r="C66" s="1" t="s">
        <v>538</v>
      </c>
      <c r="D66" s="1" t="s">
        <v>539</v>
      </c>
      <c r="E66" s="1" t="s">
        <v>47</v>
      </c>
    </row>
    <row r="67" customFormat="false" ht="15" hidden="false" customHeight="true" outlineLevel="0" collapsed="false">
      <c r="A67" s="1" t="n">
        <v>66</v>
      </c>
      <c r="B67" s="21" t="s">
        <v>540</v>
      </c>
      <c r="C67" s="1" t="s">
        <v>541</v>
      </c>
      <c r="D67" s="1" t="s">
        <v>542</v>
      </c>
      <c r="E67" s="1" t="s">
        <v>28</v>
      </c>
    </row>
    <row r="68" customFormat="false" ht="15" hidden="false" customHeight="true" outlineLevel="0" collapsed="false">
      <c r="A68" s="1" t="n">
        <v>67</v>
      </c>
      <c r="B68" s="21" t="s">
        <v>543</v>
      </c>
      <c r="C68" s="1" t="s">
        <v>544</v>
      </c>
      <c r="D68" s="1" t="s">
        <v>545</v>
      </c>
      <c r="E68" s="1" t="s">
        <v>47</v>
      </c>
    </row>
    <row r="69" customFormat="false" ht="15" hidden="false" customHeight="true" outlineLevel="0" collapsed="false">
      <c r="A69" s="1" t="n">
        <v>68</v>
      </c>
      <c r="B69" s="21" t="s">
        <v>546</v>
      </c>
      <c r="C69" s="1" t="s">
        <v>547</v>
      </c>
      <c r="D69" s="1" t="s">
        <v>548</v>
      </c>
      <c r="E69" s="1" t="s">
        <v>28</v>
      </c>
    </row>
    <row r="70" customFormat="false" ht="15" hidden="false" customHeight="true" outlineLevel="0" collapsed="false">
      <c r="A70" s="1" t="n">
        <v>69</v>
      </c>
      <c r="B70" s="21" t="s">
        <v>549</v>
      </c>
      <c r="C70" s="1" t="s">
        <v>550</v>
      </c>
      <c r="D70" s="1" t="s">
        <v>551</v>
      </c>
      <c r="E70" s="1" t="s">
        <v>47</v>
      </c>
    </row>
    <row r="71" customFormat="false" ht="15" hidden="false" customHeight="true" outlineLevel="0" collapsed="false">
      <c r="A71" s="1" t="n">
        <v>70</v>
      </c>
      <c r="B71" s="21" t="s">
        <v>552</v>
      </c>
      <c r="C71" s="1" t="s">
        <v>532</v>
      </c>
      <c r="D71" s="1" t="s">
        <v>553</v>
      </c>
      <c r="E71" s="1" t="s">
        <v>47</v>
      </c>
    </row>
    <row r="72" customFormat="false" ht="15" hidden="false" customHeight="true" outlineLevel="0" collapsed="false">
      <c r="A72" s="1" t="n">
        <v>71</v>
      </c>
      <c r="B72" s="21" t="s">
        <v>554</v>
      </c>
      <c r="C72" s="1" t="s">
        <v>555</v>
      </c>
      <c r="D72" s="1" t="s">
        <v>556</v>
      </c>
      <c r="E72" s="1" t="s">
        <v>47</v>
      </c>
    </row>
    <row r="73" customFormat="false" ht="15" hidden="false" customHeight="true" outlineLevel="0" collapsed="false">
      <c r="A73" s="1" t="n">
        <v>72</v>
      </c>
      <c r="B73" s="21" t="s">
        <v>557</v>
      </c>
      <c r="C73" s="1" t="s">
        <v>558</v>
      </c>
      <c r="D73" s="1" t="s">
        <v>559</v>
      </c>
      <c r="E73" s="1" t="s">
        <v>47</v>
      </c>
    </row>
    <row r="74" customFormat="false" ht="15" hidden="false" customHeight="true" outlineLevel="0" collapsed="false">
      <c r="A74" s="1" t="n">
        <v>73</v>
      </c>
      <c r="B74" s="21" t="s">
        <v>560</v>
      </c>
      <c r="C74" s="1" t="s">
        <v>558</v>
      </c>
      <c r="D74" s="1" t="s">
        <v>561</v>
      </c>
      <c r="E74" s="1" t="s">
        <v>47</v>
      </c>
    </row>
    <row r="75" customFormat="false" ht="15" hidden="false" customHeight="true" outlineLevel="0" collapsed="false">
      <c r="A75" s="1" t="n">
        <v>74</v>
      </c>
      <c r="B75" s="21" t="s">
        <v>562</v>
      </c>
      <c r="C75" s="1" t="s">
        <v>563</v>
      </c>
      <c r="D75" s="1" t="s">
        <v>564</v>
      </c>
      <c r="E75" s="1" t="s">
        <v>47</v>
      </c>
    </row>
    <row r="76" customFormat="false" ht="15" hidden="false" customHeight="true" outlineLevel="0" collapsed="false">
      <c r="A76" s="1" t="n">
        <v>75</v>
      </c>
      <c r="B76" s="21" t="s">
        <v>565</v>
      </c>
      <c r="C76" s="1" t="s">
        <v>566</v>
      </c>
      <c r="D76" s="1" t="s">
        <v>567</v>
      </c>
      <c r="E76" s="1" t="s">
        <v>47</v>
      </c>
    </row>
    <row r="77" customFormat="false" ht="15" hidden="false" customHeight="true" outlineLevel="0" collapsed="false">
      <c r="A77" s="1" t="n">
        <v>76</v>
      </c>
      <c r="B77" s="21" t="s">
        <v>568</v>
      </c>
      <c r="C77" s="1" t="s">
        <v>569</v>
      </c>
      <c r="D77" s="1" t="s">
        <v>570</v>
      </c>
      <c r="E77" s="1" t="s">
        <v>47</v>
      </c>
    </row>
    <row r="78" customFormat="false" ht="15" hidden="false" customHeight="false" outlineLevel="0" collapsed="false">
      <c r="A78" s="1" t="n">
        <v>77</v>
      </c>
      <c r="B78" s="21" t="s">
        <v>263</v>
      </c>
      <c r="C78" s="1" t="s">
        <v>571</v>
      </c>
      <c r="D78" s="1" t="s">
        <v>27</v>
      </c>
      <c r="E78" s="1" t="s">
        <v>28</v>
      </c>
    </row>
    <row r="79" customFormat="false" ht="15" hidden="false" customHeight="false" outlineLevel="0" collapsed="false">
      <c r="A79" s="1" t="n">
        <v>78</v>
      </c>
      <c r="B79" s="21" t="s">
        <v>231</v>
      </c>
      <c r="C79" s="1" t="s">
        <v>572</v>
      </c>
      <c r="D79" s="1" t="s">
        <v>46</v>
      </c>
      <c r="E79" s="1" t="s">
        <v>28</v>
      </c>
    </row>
    <row r="80" customFormat="false" ht="15" hidden="false" customHeight="false" outlineLevel="0" collapsed="false">
      <c r="A80" s="1" t="n">
        <v>79</v>
      </c>
      <c r="B80" s="21" t="s">
        <v>573</v>
      </c>
      <c r="C80" s="1" t="s">
        <v>574</v>
      </c>
      <c r="D80" s="1" t="s">
        <v>575</v>
      </c>
      <c r="E80" s="1" t="s">
        <v>28</v>
      </c>
    </row>
    <row r="81" customFormat="false" ht="15" hidden="false" customHeight="false" outlineLevel="0" collapsed="false">
      <c r="A81" s="1" t="n">
        <v>80</v>
      </c>
      <c r="B81" s="21" t="s">
        <v>238</v>
      </c>
      <c r="C81" s="1" t="s">
        <v>576</v>
      </c>
      <c r="D81" s="1" t="s">
        <v>46</v>
      </c>
      <c r="E81" s="1" t="s">
        <v>28</v>
      </c>
    </row>
    <row r="82" customFormat="false" ht="15" hidden="false" customHeight="false" outlineLevel="0" collapsed="false">
      <c r="A82" s="1" t="n">
        <v>81</v>
      </c>
      <c r="B82" s="21" t="s">
        <v>245</v>
      </c>
      <c r="C82" s="1" t="s">
        <v>577</v>
      </c>
      <c r="D82" s="1" t="s">
        <v>46</v>
      </c>
      <c r="E82" s="1" t="s">
        <v>28</v>
      </c>
    </row>
    <row r="83" customFormat="false" ht="15" hidden="false" customHeight="false" outlineLevel="0" collapsed="false">
      <c r="A83" s="1" t="n">
        <v>82</v>
      </c>
      <c r="B83" s="21" t="s">
        <v>578</v>
      </c>
      <c r="C83" s="1" t="s">
        <v>579</v>
      </c>
      <c r="D83" s="1" t="s">
        <v>575</v>
      </c>
      <c r="E83" s="1" t="s">
        <v>28</v>
      </c>
    </row>
    <row r="84" customFormat="false" ht="15" hidden="false" customHeight="false" outlineLevel="0" collapsed="false">
      <c r="A84" s="1" t="n">
        <v>83</v>
      </c>
      <c r="B84" s="21" t="s">
        <v>315</v>
      </c>
      <c r="C84" s="1" t="s">
        <v>580</v>
      </c>
      <c r="D84" s="1" t="s">
        <v>46</v>
      </c>
      <c r="E84" s="1" t="s">
        <v>28</v>
      </c>
    </row>
    <row r="85" customFormat="false" ht="15" hidden="false" customHeight="false" outlineLevel="0" collapsed="false">
      <c r="A85" s="1" t="n">
        <v>84</v>
      </c>
      <c r="B85" s="21" t="s">
        <v>326</v>
      </c>
      <c r="C85" s="1" t="s">
        <v>581</v>
      </c>
      <c r="D85" s="1" t="s">
        <v>27</v>
      </c>
      <c r="E85" s="1" t="s">
        <v>28</v>
      </c>
    </row>
    <row r="86" customFormat="false" ht="15" hidden="false" customHeight="false" outlineLevel="0" collapsed="false">
      <c r="A86" s="1" t="n">
        <v>85</v>
      </c>
      <c r="B86" s="21" t="s">
        <v>416</v>
      </c>
      <c r="C86" s="1" t="s">
        <v>582</v>
      </c>
      <c r="D86" s="1" t="s">
        <v>46</v>
      </c>
      <c r="E86" s="1" t="s">
        <v>28</v>
      </c>
    </row>
    <row r="87" customFormat="false" ht="15" hidden="false" customHeight="false" outlineLevel="0" collapsed="false">
      <c r="A87" s="1" t="n">
        <v>86</v>
      </c>
      <c r="B87" s="21" t="s">
        <v>583</v>
      </c>
      <c r="C87" s="1" t="s">
        <v>566</v>
      </c>
      <c r="D87" s="1" t="s">
        <v>584</v>
      </c>
      <c r="E87" s="1" t="s">
        <v>28</v>
      </c>
    </row>
    <row r="88" customFormat="false" ht="15" hidden="false" customHeight="false" outlineLevel="0" collapsed="false">
      <c r="A88" s="1" t="n">
        <v>87</v>
      </c>
      <c r="B88" s="21" t="s">
        <v>585</v>
      </c>
      <c r="C88" s="1" t="s">
        <v>586</v>
      </c>
      <c r="D88" s="1" t="s">
        <v>587</v>
      </c>
      <c r="E88" s="1" t="s">
        <v>28</v>
      </c>
    </row>
    <row r="89" customFormat="false" ht="15" hidden="false" customHeight="false" outlineLevel="0" collapsed="false">
      <c r="A89" s="1" t="n">
        <v>88</v>
      </c>
      <c r="B89" s="21" t="s">
        <v>588</v>
      </c>
      <c r="C89" s="1" t="s">
        <v>586</v>
      </c>
      <c r="D89" s="1" t="s">
        <v>589</v>
      </c>
      <c r="E89" s="1" t="s">
        <v>28</v>
      </c>
    </row>
    <row r="90" customFormat="false" ht="15" hidden="false" customHeight="false" outlineLevel="0" collapsed="false">
      <c r="A90" s="1" t="n">
        <v>89</v>
      </c>
      <c r="B90" s="21" t="s">
        <v>590</v>
      </c>
      <c r="C90" s="1" t="s">
        <v>591</v>
      </c>
      <c r="D90" s="1" t="s">
        <v>592</v>
      </c>
      <c r="E90" s="1" t="s">
        <v>28</v>
      </c>
    </row>
  </sheetData>
  <hyperlinks>
    <hyperlink ref="B2" r:id="rId1" display="https://probots.co.in/raspberry-pi-5-model-b-bcm2712-arm-cortex-a76-8gb-ram-2-4ghz-single-board-computer.html"/>
    <hyperlink ref="B3" r:id="rId2" display="https://probots.co.in/official-raspberry-pi-ai-hat-26-tops.html"/>
    <hyperlink ref="B4" r:id="rId3" display="https://probots.co.in/official-raspberry-pi-5-active-cooler-heatsink-fan.html"/>
    <hyperlink ref="B5" r:id="rId4" display="https://robocraze.com/search?q=sandisk"/>
    <hyperlink ref="B6" r:id="rId5" display="https://probots.co.in/raspberry-pi-27w-usb-c-power-supply-white-in-plug.html"/>
    <hyperlink ref="B7" r:id="rId6" display="https://probots.co.in/xl4015-step-down-buck-converter-adjustable-max-output-36v-5a.html"/>
    <hyperlink ref="B8" r:id="rId7" display="https://probots.co.in/metal-case-raspberry-pi-5-x1202-ups-board.html"/>
    <hyperlink ref="B9" r:id="rId8" display="https://lioncircuits.com/parts/ESP32-S3-WROOM-1-N16R8"/>
    <hyperlink ref="B10" r:id="rId9" display="https://lioncircuits.com/parts/MAX3485ESA+T"/>
    <hyperlink ref="B11" r:id="rId10" display="https://lioncircuits.com/parts/SM712.TCT"/>
    <hyperlink ref="B12" r:id="rId11" display="https://probots.co.in/bts7960-43a-stepper-motor-driver-h-bridge-high-power-module-motor-control.html"/>
    <hyperlink ref="B13" r:id="rId12" display="https://lioncircuits.com/parts/AP2112K-3.3TRG1"/>
    <hyperlink ref="B14" r:id="rId13" display="https://lioncircuits.com/parts/PC817C"/>
    <hyperlink ref="B15" r:id="rId14" display="https://probots.co.in/2-pin-fixed-screw-terminal-block-connector-5-08mm.html"/>
    <hyperlink ref="B16" r:id="rId15" display="https://probots.co.in/piezo-electric-buzzer-alarm-3v-24v-continuous-b27.html"/>
    <hyperlink ref="B17" r:id="rId16" display="https://probots.co.in/rgb-led-12-bit-ws2812-circular-development-board.html"/>
    <hyperlink ref="B18" r:id="rId17" display="https://lioncircuits.com/"/>
    <hyperlink ref="B19" r:id="rId18" display="https://www.industrybuying.com/card-reader-id-tech-ITE.CAR.38552208"/>
    <hyperlink ref="B20" r:id="rId19" display="https://m.indiamart.com/ecotracksystems/profile.html"/>
    <hyperlink ref="B21" r:id="rId20" display="https://m.indiamart.com/proddetail/cp-plus-cp-unc-td21zl6c-vmds-bullet-camera-2854862398948.html"/>
    <hyperlink ref="B22" r:id="rId21" display="https://m.indiamart.com/proddetail/5-port-gigabit-ethernet-poe-unmanaged-switch-gs305p-netgear-2856793072391.html"/>
    <hyperlink ref="B23" r:id="rId22" display="https://probots.co.in/esp32-c3-supermini-wifi-bluetooth-development-board-32-bit-risc-v-uart-i2c-spi.html"/>
    <hyperlink ref="B24" r:id="rId23" display="https://probots.co.in/vl53l1x-tof-laser-ranging-sensor-module.html"/>
    <hyperlink ref="B25" r:id="rId24" display="https://probots.co.in/p10-red-smd-outdoor-led-display-module-160x320mm.html"/>
    <hyperlink ref="B26" r:id="rId25" display="https://probots.co.in/w00-led-display-single-colour-wifi-controller-card-hd.html"/>
    <hyperlink ref="B27" r:id="rId26" display="https://www.moglix.com/lucas-tvs-wiper-motor-assembly-24-v-18-nm-for-hindustan-72-71b-front-end-loader-front-screentriv-luc-tsrxs6/mp/msnl5gln362yk4"/>
    <hyperlink ref="B28" r:id="rId27" display="https://probots.co.in/rotary-adjustable-roller-micro-limit-switch-me-8108.html"/>
    <hyperlink ref="B29" r:id="rId28" display="https://m.indiamart.com/proddetail/ps-mt5-usb2-delta-18mm-thru-beam-gkdp-18-3a30-pc-my3n-j-24vdc-my3n-j-12vdc-my3n-j-110vac-pyf11a-e-26029950830.html"/>
    <hyperlink ref="B30" r:id="rId29" display="https://probots.co.in/promax-22mm-emergency-stop-switch-mushroom-head-waterproof-metal-2-pole.html"/>
    <hyperlink ref="B31" r:id="rId30" display="https://probots.co.in/24v-30a-1-channel-relay-module-with-optocoupler-isolation-high-power.html"/>
    <hyperlink ref="B32" r:id="rId31" display="https://probots.co.in/smps-metal-power-supply-24v-6-5a-156w-lrs-150-24-mean-well.html"/>
    <hyperlink ref="B33" r:id="rId32" display="https://probots.co.in/mean-well-smps-12v-8-5a-102w-metal-power-supply-lrs-100-12.html"/>
    <hyperlink ref="B34" r:id="rId33" display="https://lntsufin.com/product/schneider-electric-acti9-xc60-a9n1p06c-single-pole-6-a-c-curve-mcb/17753-69"/>
    <hyperlink ref="B35" r:id="rId34" display="https://probots.co.in/inline-5x20mm-glass-fuse-holder-with-22-awg-lead-wires-25pcs-bag.html"/>
    <hyperlink ref="B36" r:id="rId35" display="https://m.indiamart.com/proddetail/surge-protection-device-2859297106848.html"/>
    <hyperlink ref="B37" r:id="rId36" display="https://m.indiamart.com/proddetail/mini-ups-for-wifi-router-25743173988.html"/>
    <hyperlink ref="B38" r:id="rId37" display="https://probots.co.in/nickel-plated-brass-metal-cable-gland-gland-size-pg-7.html"/>
    <hyperlink ref="B39" r:id="rId38" display="https://m.indiamart.com/simplexprofilosystems/aluminium-extrusion-profiles.html"/>
    <hyperlink ref="B40" r:id="rId39" display="https://robocraze.com/products/600mm-2020-european-standard-aluminium-profile"/>
    <hyperlink ref="B41" r:id="rId40" display="https://m.indiamart.com/simplexprofilosystems/"/>
    <hyperlink ref="B42" r:id="rId41" display="https://m.indiamart.com/proddetail/cnc-laser-cutting-service-2849776118462.html"/>
    <hyperlink ref="B43" r:id="rId42" display="https://m.indiamart.com/proddetail/aluminum-rectangular-pipe-2406025197.html"/>
    <hyperlink ref="B44" r:id="rId43" display="https://m.indiamart.com/proddetail/grasp-ip-65-modular-electrical-enclosures-7255097288.html"/>
    <hyperlink ref="B45" r:id="rId44" display="https://robocraze.com/search?q=petg+filament"/>
    <hyperlink ref="B46" r:id="rId45" display="https://probots.co.in/m3x25mm-bolts-and-nuts.html"/>
    <hyperlink ref="B47" r:id="rId46" display="https://robocraze.com/products/raspberry-pi-5-8gb"/>
    <hyperlink ref="B48" r:id="rId47" display="https://robocraze.com/products/official-raspberry-pi-ai-hat-26-tops"/>
    <hyperlink ref="B49" r:id="rId48" display="https://probots.co.in/esp32-s3-wroom-1-n16r8-development-board-wireless-module-wifi-bluetooth.html"/>
    <hyperlink ref="B50" r:id="rId49" display="https://probots.co.in/uart-ttl-to-rs485-serial-converter.html"/>
    <hyperlink ref="B51" r:id="rId50" display="https://www.thingbits.in/products/bts7960-43a-h-bridge-motor-driver"/>
    <hyperlink ref="B52" r:id="rId51" display="https://m.indiamart.com/ecotracksystems/integrated-reader.html"/>
    <hyperlink ref="B53" r:id="rId52" display="https://m.indiamart.com/proddetail/hikvision-ds-2cd1023g0e-i-2-mp-ir-fixed-network-bullet-camera-22509971212.html"/>
    <hyperlink ref="B54" r:id="rId53" display="https://m.indiamart.com/proddetail/8-port-gigabit-ethernet-plus-with-4-ports-poe-53w-24243207948.html"/>
    <hyperlink ref="B55" r:id="rId54" display="https://thingbits.in/products/a02yyuw-waterproof-ultrasonic-sensor"/>
    <hyperlink ref="B56" r:id="rId55" display="https://m.indiamart.com/proddetail/outdoor-p10-red-led-display-module-21357608312.html"/>
    <hyperlink ref="B57" r:id="rId56" display="https://probots.co.in/6280-24v-30rpm-reversible-worm-gear-high-torque-self-locking-motor-left.html"/>
    <hyperlink ref="B58" r:id="rId57" display="https://m.indiamart.com/proddetail/boom-barrier-photocell-sensor-2853343495312.html"/>
    <hyperlink ref="B59" r:id="rId58" display="https://m.indiamart.com/r-and-d-controlsystems/switch-mode-power-supply.html"/>
    <hyperlink ref="B60" r:id="rId59" display="https://m.indiamart.com/proddetail/40x40-aluminium-extrusion-2856866587030.html"/>
    <hyperlink ref="B61" r:id="rId60" display="https://probots.co.in/contact-us"/>
    <hyperlink ref="B62" r:id="rId61" display="https://robocraze.com/pages/contact"/>
    <hyperlink ref="B63" r:id="rId62" display="https://m.indiamart.com/robocraze/profile.html"/>
    <hyperlink ref="B64" r:id="rId63" display="https://hubtronics.in/index.php?route=information/contact"/>
    <hyperlink ref="B65" r:id="rId64" display="https://thingbits.in/contact"/>
    <hyperlink ref="B66" r:id="rId65" display="https://www.primeabgb.com/contact-us/"/>
    <hyperlink ref="B67" r:id="rId66" display="https://www.tradeindia.com/products/mid-range-uhf-integrated-reader-idt-85-c7429880.html"/>
    <hyperlink ref="B68" r:id="rId67" display="https://circuitdigest.com/interview/lioncircuits-441-crore-terra-circuits-pcb-mega-campus-in-karnataka"/>
    <hyperlink ref="B69" r:id="rId68" display="https://in.element14.com/raspberry-pi/rpi5-8gb-single/rpi-5-board-2-4ghz-8gb-arm-cortex/dp/4256000"/>
    <hyperlink ref="B70" r:id="rId69" display="https://m.indiamart.com/simplexprofilosystems/profile.html"/>
    <hyperlink ref="B71" r:id="rId70" display="https://m.indiamart.com/hubtronics/testimonial.html"/>
    <hyperlink ref="B72" r:id="rId71" display="https://m.indiamart.com/idisindia/plastic-enclosures.html"/>
    <hyperlink ref="B73" r:id="rId72" display="https://m.indiamart.com/proddetail/cp-plus-cp-unc-tc21zl6c-vmds-network-ir-bullet-camera-26025370433.html"/>
    <hyperlink ref="B74" r:id="rId73" display="https://m.indiamart.com/proddetail/hikvision-ds-2cd1023g2-liu-2mp-fixed-bullet-network-camera-2855177890397.html"/>
    <hyperlink ref="B75" r:id="rId74" display="https://www.moglix.com/esun-1kg-175mm-solid-yellow-petg-3d-printer-filament/mp/msng9vnqjpjdkp"/>
    <hyperlink ref="B76" r:id="rId75" display="https://probots.co.in/6280-24v-100rpm-reversible-worm-gear-high-torque-self-locking-motor-left.html"/>
    <hyperlink ref="B77" r:id="rId76" display="https://probots.co.in/micro-limit-switch-roller.htm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2026-10-24T23:16:11Z</dcterms:created>
  <dc:creator>openpyxl</dc:creator>
  <dc:description/>
  <dc:language>en-US</dc:language>
  <cp:lastModifiedBy/>
  <dcterms:modified xsi:type="dcterms:W3CDTF">2026-10-25T05:29:14Z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